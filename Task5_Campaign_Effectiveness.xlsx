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" sheetId="1" r:id="rId4"/>
    <sheet state="visible" name="Pivot Table 1" sheetId="2" r:id="rId5"/>
    <sheet state="visible" name="Engagment Summary" sheetId="3" r:id="rId6"/>
    <sheet state="visible" name="Campaign Data" sheetId="4" r:id="rId7"/>
  </sheets>
  <definedNames>
    <definedName hidden="1" localSheetId="0" name="_xlnm._FilterDatabase">Post!$A$1:$M$1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<sst xmlns="http://schemas.openxmlformats.org/spreadsheetml/2006/main" count="2358" uniqueCount="589">
  <si>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</si>
  <si>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</si>
  <si>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</si>
  <si>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</si>
  <si>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</si>
  <si>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</si>
  <si>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</si>
  <si>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</si>
  <si>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</si>
  <si>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</si>
  <si>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</si>
  <si>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</si>
  <si>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</si>
  <si>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</si>
  <si>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</si>
  <si>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</si>
  <si>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</si>
  <si>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</si>
  <si>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</si>
  <si>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</si>
  <si>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</si>
  <si>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</si>
  <si>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</si>
  <si>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</si>
  <si>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</si>
  <si>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</si>
  <si>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</si>
  <si>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</si>
  <si>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</si>
  <si>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</si>
  <si>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</si>
  <si>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</si>
  <si>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</si>
  <si>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</si>
  <si>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</si>
  <si>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</si>
  <si>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</si>
  <si>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</si>
  <si>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</si>
  <si>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</si>
  <si>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</si>
  <si>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</si>
  <si>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</si>
  <si>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</si>
  <si>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</si>
  <si>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</si>
  <si>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</si>
  <si>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</si>
  <si>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</si>
  <si>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</si>
  <si>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</si>
  <si>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</si>
  <si>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</si>
  <si>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</si>
  <si>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</si>
  <si>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</si>
  <si>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</si>
  <si>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</si>
  <si>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</si>
  <si>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</si>
  <si>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</si>
  <si>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</si>
  <si>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</si>
  <si>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</si>
  <si>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</si>
  <si>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</si>
  <si>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</si>
  <si>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</si>
  <si>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</si>
  <si>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</si>
  <si>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</si>
  <si>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</si>
  <si>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</si>
  <si>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</si>
  <si>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</si>
  <si>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</si>
  <si>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</si>
  <si>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</si>
  <si>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</si>
  <si>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</si>
  <si>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</si>
  <si>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</si>
  <si>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</si>
  <si>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</si>
  <si>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</si>
  <si>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</si>
  <si>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</si>
  <si>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</si>
  <si>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</si>
  <si>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</si>
  <si>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</si>
  <si>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</si>
  <si>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</si>
  <si>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</si>
  <si>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</si>
  <si>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</si>
  <si>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</si>
  <si>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</si>
  <si>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</si>
  <si>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</si>
  <si>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</si>
  <si>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</si>
  <si>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</si>
  <si>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</si>
  <si>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</si>
  <si>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</si>
  <si>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</si>
  <si>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</si>
  <si>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</si>
  <si>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</si>
  <si>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</si>
  <si>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</si>
  <si>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</si>
  <si>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</si>
  <si>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</si>
  <si>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</si>
  <si>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</si>
  <si>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</si>
  <si>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</si>
  <si>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</si>
  <si>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</si>
  <si>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</si>
  <si>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</si>
  <si>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</si>
  <si>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</si>
  <si>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</si>
  <si>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</si>
  <si>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</si>
  <si>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</si>
  <si>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</si>
  <si>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</si>
  <si>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</si>
  <si>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</si>
  <si>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</si>
  <si>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</si>
  <si>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</si>
  <si>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</si>
  <si>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</si>
  <si>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</si>
  <si>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</si>
  <si>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</si>
  <si>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</si>
  <si>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</si>
  <si>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</si>
  <si>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</si>
  <si>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</si>
  <si>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</si>
  <si>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</si>
  <si>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</si>
  <si>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</si>
  <si>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</si>
  <si>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</si>
  <si>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</si>
  <si>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</si>
  <si>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</si>
  <si>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</si>
  <si>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</si>
  <si>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</si>
  <si>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</si>
  <si>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</si>
  <si>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</si>
  <si>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</si>
  <si>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</si>
  <si>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</si>
  <si>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</si>
  <si>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</si>
  <si>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</si>
  <si>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</si>
  <si>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</si>
  <si>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</si>
  <si>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</si>
  <si>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</si>
  <si>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</si>
  <si>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</si>
  <si>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</si>
  <si>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</si>
  <si>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</si>
  <si>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</si>
  <si>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</si>
  <si>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</si>
  <si>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</si>
  <si>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</si>
  <si>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</si>
  <si>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</si>
  <si>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</si>
  <si>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</si>
  <si>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</si>
  <si>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</si>
  <si>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</si>
  <si>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</si>
  <si>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</si>
  <si>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</si>
  <si>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</si>
  <si>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</si>
  <si>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</si>
  <si>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</si>
  <si>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</si>
  <si>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</si>
  <si>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</si>
  <si>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</si>
  <si>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</si>
  <si>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</si>
  <si>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</si>
  <si>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</si>
  <si>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</si>
  <si>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</si>
  <si>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</si>
  <si>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</si>
  <si>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</si>
  <si>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</si>
  <si>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</si>
  <si>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</si>
  <si>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</si>
  <si>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</si>
  <si>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</si>
  <si>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</si>
  <si>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</si>
  <si>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</si>
  <si>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</si>
  <si>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</si>
  <si>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</si>
  <si>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</si>
  <si>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</si>
  <si>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</si>
  <si>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</si>
  <si>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</si>
  <si>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</si>
  <si>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</si>
  <si>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</si>
  <si>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</si>
  <si>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</si>
  <si>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</si>
  <si>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</si>
  <si>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</si>
  <si>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</si>
  <si>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</si>
  <si>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</si>
  <si>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</si>
  <si>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</si>
  <si>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</si>
  <si>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</si>
  <si>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</si>
  <si>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</si>
  <si>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</si>
  <si>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</si>
  <si>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</si>
  <si>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</si>
  <si>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</si>
  <si>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</si>
  <si>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</si>
  <si>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</si>
  <si>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</si>
  <si>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</si>
  <si>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</si>
  <si>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</si>
  <si>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</si>
  <si>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</si>
  <si>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</si>
  <si>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</si>
  <si>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</si>
  <si>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</si>
  <si>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</si>
  <si>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</si>
  <si>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</si>
  <si>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</si>
  <si>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</si>
  <si>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</si>
  <si>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</si>
  <si>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</si>
  <si>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</si>
  <si>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</si>
  <si>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</si>
  <si>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</si>
  <si>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</si>
  <si>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</si>
  <si>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</si>
  <si>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</si>
  <si>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</si>
  <si>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</si>
  <si>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</si>
  <si>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</si>
  <si>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</si>
  <si>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</si>
  <si>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</si>
  <si>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</si>
  <si>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</si>
  <si>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</si>
  <si>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</si>
  <si>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</si>
  <si>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</si>
  <si>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</si>
  <si>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</si>
  <si>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</si>
  <si>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</si>
  <si>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</si>
  <si>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</si>
  <si>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</si>
  <si>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</si>
  <si>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</si>
  <si>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</si>
  <si>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</si>
  <si>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</si>
  <si>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</si>
  <si>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</si>
  <si>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</si>
  <si>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</si>
  <si>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</si>
  <si>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</si>
  <si>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</si>
  <si>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</si>
  <si>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</si>
  <si>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</si>
  <si>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</si>
  <si>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</si>
  <si>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</si>
  <si>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</si>
  <si>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</si>
  <si>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</si>
  <si>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</si>
  <si>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</si>
  <si>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</si>
  <si>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</si>
  <si>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</si>
  <si>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</si>
  <si>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</si>
  <si>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</si>
  <si>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</si>
  <si>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</si>
  <si>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</si>
  <si>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</si>
  <si>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</si>
  <si>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</si>
  <si>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</si>
  <si>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</si>
  <si>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</si>
  <si>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</si>
  <si>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</si>
  <si>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</si>
  <si>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</si>
  <si>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</si>
  <si>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</si>
  <si>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</si>
  <si>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</si>
  <si>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</si>
  <si>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</si>
  <si>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</si>
  <si>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</si>
  <si>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</si>
  <si>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</si>
  <si>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</si>
  <si>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</si>
  <si>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</si>
  <si>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</si>
  <si>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</si>
  <si>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</si>
  <si>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</si>
  <si>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</si>
  <si>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</si>
  <si>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</si>
  <si>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</si>
  <si>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</si>
  <si>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</si>
  <si>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</si>
  <si>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</si>
  <si>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</si>
  <si>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</si>
  <si>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</si>
  <si>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</si>
  <si>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</si>
  <si>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</si>
  <si>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</si>
  <si>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</si>
  <si>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</si>
  <si>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</si>
  <si>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</si>
  <si>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</si>
  <si>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</si>
  <si>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</si>
  <si>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</si>
  <si>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</si>
  <si>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</si>
  <si>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</si>
  <si>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</si>
  <si>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</si>
  <si>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</si>
  <si>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</si>
  <si>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</si>
  <si>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</si>
  <si>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</si>
  <si>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</si>
  <si>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</si>
  <si>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</si>
  <si>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</si>
  <si>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</si>
  <si>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</si>
  <si>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</si>
  <si>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</si>
  <si>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</si>
  <si>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</si>
  <si>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</si>
  <si>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</si>
  <si>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</si>
  <si>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</si>
  <si>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</si>
  <si>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</si>
  <si>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</si>
  <si>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</si>
  <si>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</si>
  <si>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</si>
  <si>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</si>
  <si>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</si>
  <si>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</si>
  <si>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</si>
  <si>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</si>
  <si>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</si>
  <si>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</si>
  <si>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</si>
  <si>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</si>
  <si>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</si>
  <si>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</si>
  <si>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</si>
  <si>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</si>
  <si>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</si>
  <si>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</si>
  <si>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</si>
  <si>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</si>
  <si>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</si>
  <si>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</si>
  <si>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</si>
  <si>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</si>
  <si>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</si>
  <si>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</si>
  <si>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</si>
  <si>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</si>
  <si>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</si>
  <si>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</si>
  <si>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</si>
  <si>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</si>
  <si>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</si>
  <si>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</si>
  <si>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</si>
  <si>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</si>
  <si>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</si>
  <si>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</si>
  <si>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</si>
  <si>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</si>
  <si>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</si>
  <si>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</si>
  <si>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</si>
  <si>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</si>
  <si>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</si>
  <si>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</si>
  <si>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</si>
  <si>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</si>
  <si>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</si>
  <si>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</si>
  <si>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</si>
  <si>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</si>
  <si>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</si>
  <si>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</si>
  <si>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</si>
  <si>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</si>
  <si>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</si>
  <si>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</si>
  <si>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</si>
  <si>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</si>
  <si>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</si>
  <si>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</si>
  <si>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</si>
  <si>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</si>
  <si>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</si>
  <si>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</si>
  <si>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</si>
  <si>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</si>
  <si>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</si>
  <si>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</si>
  <si>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</si>
  <si>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</si>
  <si>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</si>
  <si>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</si>
  <si>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</si>
  <si>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</si>
  <si>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</si>
  <si>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</si>
  <si>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</si>
  <si>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</si>
  <si>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</si>
  <si>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</si>
  <si>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</si>
  <si>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</si>
  <si>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</si>
  <si>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</si>
  <si>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</si>
  <si>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</si>
  <si>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</si>
  <si>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</si>
  <si>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</si>
  <si>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</si>
  <si>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</si>
  <si>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</si>
  <si>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</si>
  <si>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</si>
  <si>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</si>
  <si>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</si>
  <si>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</si>
  <si>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</si>
  <si>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</si>
  <si>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</si>
  <si>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</si>
  <si>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</si>
  <si>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</si>
  <si>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</si>
  <si>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</si>
  <si>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</si>
  <si>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</si>
  <si>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</si>
  <si>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</si>
  <si>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</si>
  <si>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</si>
  <si>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</si>
  <si>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</si>
  <si>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</si>
  <si>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</si>
  <si>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</si>
  <si>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</si>
  <si>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</si>
  <si>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</si>
  <si>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</si>
  <si>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</si>
  <si>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</si>
  <si>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</si>
  <si>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</si>
  <si>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</si>
  <si>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</si>
  <si>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</si>
  <si>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</si>
  <si>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</si>
  <si>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</si>
  <si>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</si>
  <si>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</si>
  <si>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</si>
  <si>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</si>
  <si>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</si>
  <si>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</si>
  <si>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</si>
  <si>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</si>
  <si>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</si>
  <si>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</si>
  <si>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</si>
  <si>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</si>
  <si>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</si>
  <si>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</si>
  <si>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</si>
  <si>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</si>
  <si>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</si>
  <si>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</si>
  <si>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SUM of Impressions</t>
  </si>
  <si>
    <t>SUM of Likes</t>
  </si>
  <si>
    <t>SUM of Clicks</t>
  </si>
  <si>
    <t>COUNTA of Post ID</t>
  </si>
  <si>
    <t>Total_Budget</t>
  </si>
  <si>
    <t>ROI_ClicksPerRupee</t>
  </si>
  <si>
    <t>Highest ROI Campaign</t>
  </si>
  <si>
    <t>Grand Total</t>
  </si>
  <si>
    <t>Week_Start_Date</t>
  </si>
  <si>
    <t>New_Followers</t>
  </si>
  <si>
    <t>Unfollows</t>
  </si>
  <si>
    <t>Total_Followers</t>
  </si>
  <si>
    <t>Engagement_Rate</t>
  </si>
  <si>
    <t>Ad_Spend</t>
  </si>
  <si>
    <t>NetGrowth</t>
  </si>
  <si>
    <t>EndOfSeasonSale – Total NetGrowth =</t>
  </si>
  <si>
    <t>FashionUpgrade – total NetGrowth =</t>
  </si>
  <si>
    <t>Strongest follower growth</t>
  </si>
  <si>
    <t>MyntraFestiveEdit -Total NetGrowth =</t>
  </si>
  <si>
    <t>StyleRevolution – total NetGrowth =</t>
  </si>
  <si>
    <t>average Engagement Rate_duringPeriod =</t>
  </si>
  <si>
    <t>Start_Date</t>
  </si>
  <si>
    <t>End_Date</t>
  </si>
  <si>
    <t>Objective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</si>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</sst>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Arial"/>
    </font>
    <font>
      <color theme="1"/>
      <name val="Arial"/>
    </font>
    <font>
      <sz val="12.0"/>
      <color theme="1"/>
      <name val="FkGroteskNeue"/>
    </font>
    <font>
      <sz val="11.0"/>
      <color theme="1"/>
      <name val="BerkeleyMono"/>
    </font>
    <font>
      <sz val="11.0"/>
      <color theme="1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2" numFmtId="0" xfId="0" applyFill="1" applyFont="1"/>
    <xf borderId="0" fillId="0" fontId="6" numFmtId="0" xfId="0" applyAlignment="1" applyFont="1">
      <alignment readingOrder="0"/>
    </xf>
    <xf borderId="0" fillId="0" fontId="7" numFmtId="14" xfId="0" applyFont="1" applyNumberFormat="1"/>
    <xf borderId="0" fillId="3" fontId="3" numFmtId="0" xfId="0" applyAlignment="1" applyFill="1" applyFont="1">
      <alignment readingOrder="0"/>
    </xf>
    <xf borderId="0" fillId="3" fontId="2" numFmtId="0" xfId="0" applyFont="1"/>
    <xf borderId="0" fillId="2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Font="1"/>
    <xf borderId="4" fillId="0" fontId="7" numFmtId="0" xfId="0" applyAlignment="1" applyBorder="1" applyFont="1">
      <alignment shrinkToFit="0" wrapText="1"/>
    </xf>
    <xf borderId="4" fillId="0" fontId="7" numFmtId="14" xfId="0" applyAlignment="1" applyBorder="1" applyFont="1" applyNumberFormat="1">
      <alignment shrinkToFit="0" wrapText="1"/>
    </xf>
    <xf borderId="4" fillId="0" fontId="7" numFmtId="0" xfId="0" applyAlignment="1" applyBorder="1" applyFont="1">
      <alignment horizontal="right" shrinkToFit="0" wrapText="1"/>
    </xf>
    <xf borderId="4" fillId="0" fontId="8" numFmtId="0" xfId="0" applyAlignment="1" applyBorder="1" applyFont="1">
      <alignment shrinkToFit="0" wrapText="1"/>
    </xf>
    <xf borderId="4" fillId="0" fontId="8" numFmtId="14" xfId="0" applyAlignment="1" applyBorder="1" applyFont="1" applyNumberFormat="1">
      <alignment horizontal="right" shrinkToFit="0" wrapText="1"/>
    </xf>
    <xf borderId="4" fillId="0" fontId="8" numFmtId="0" xfId="0" applyAlignment="1" applyBorder="1" applyFont="1">
      <alignment horizontal="right" shrinkToFit="0" wrapText="1"/>
    </xf>
    <xf borderId="4" fillId="0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01" sheet="Post"/>
  </cacheSource>
  <cacheFields>
    <cacheField name="Post 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>
        <s v="Twitter"/>
        <s v="YouTube"/>
        <s v="Instagram"/>
        <s v="Facebook"/>
      </sharedItems>
    </cacheField>
    <cacheField name="Date" numFmtId="0">
      <sharedItems>
        <s v="2024-12-23"/>
        <s v="2025-04-03"/>
        <s v="2025-05-12"/>
        <s v="2024-08-12"/>
        <s v="2024-06-26"/>
        <s v="2024-10-31"/>
        <s v="2024-06-24"/>
        <s v="2024-07-13"/>
        <s v="2024-08-30"/>
        <s v="2025-03-11"/>
        <s v="2025-02-02"/>
        <s v="2024-07-21"/>
        <s v="2024-11-18"/>
        <s v="2025-02-16"/>
        <s v="2024-10-24"/>
        <s v="2024-08-26"/>
        <s v="2025-05-05"/>
        <s v="2024-08-19"/>
        <s v="2024-06-23"/>
        <s v="2024-09-09"/>
        <s v="2025-01-04"/>
        <s v="2025-02-27"/>
        <s v="2024-11-06"/>
        <s v="2025-01-23"/>
        <s v="2025-04-10"/>
        <s v="2025-04-05"/>
        <s v="2024-09-17"/>
        <s v="2025-03-04"/>
        <s v="2025-01-31"/>
        <s v="2025-02-25"/>
        <s v="2024-12-16"/>
        <s v="2024-07-31"/>
        <s v="2024-08-21"/>
        <s v="2025-03-26"/>
        <s v="2024-11-30"/>
        <s v="2025-04-19"/>
        <s v="2025-01-06"/>
        <s v="2025-02-17"/>
        <s v="2024-11-25"/>
        <s v="2025-03-07"/>
        <s v="2025-03-08"/>
        <s v="2025-03-05"/>
        <s v="2024-12-14"/>
        <s v="2025-03-02"/>
        <s v="2024-11-01"/>
        <s v="2025-05-02"/>
        <s v="2025-02-24"/>
        <s v="2024-06-10"/>
        <s v="2024-07-03"/>
        <s v="2024-06-13"/>
        <s v="2025-01-03"/>
        <s v="2025-03-13"/>
        <s v="2024-06-17"/>
        <s v="2024-12-18"/>
        <s v="2024-10-21"/>
        <s v="2025-04-15"/>
        <s v="2024-06-22"/>
        <s v="2025-01-28"/>
        <s v="2024-09-05"/>
        <s v="2024-11-22"/>
        <s v="2024-08-17"/>
        <s v="2025-03-28"/>
        <s v="2024-07-26"/>
        <s v="2025-03-29"/>
        <s v="2024-12-08"/>
        <s v="2025-04-02"/>
        <s v="2024-09-02"/>
        <s v="2025-03-03"/>
        <s v="2024-10-18"/>
        <s v="2024-10-28"/>
        <s v="2024-08-01"/>
        <s v="2024-11-07"/>
        <s v="2024-10-09"/>
        <s v="2024-10-19"/>
        <s v="2024-07-24"/>
        <s v="2024-10-15"/>
        <s v="2024-12-09"/>
        <s v="2025-01-27"/>
        <s v="2024-06-06"/>
        <s v="2024-07-07"/>
        <s v="2025-01-10"/>
        <s v="2024-06-03"/>
        <s v="2025-03-24"/>
        <s v="2024-12-11"/>
        <s v="2024-11-08"/>
        <s v="2024-09-10"/>
        <s v="2024-08-13"/>
        <s v="2024-07-02"/>
        <s v="2025-02-10"/>
        <s v="2024-09-18"/>
        <s v="2024-06-11"/>
        <s v="2025-03-23"/>
        <s v="2024-06-14"/>
        <s v="2025-02-04"/>
        <s v="2024-06-21"/>
        <s v="2025-03-25"/>
        <s v="2024-08-08"/>
        <s v="2024-07-29"/>
        <s v="2024-11-23"/>
        <s v="2024-10-05"/>
        <s v="2024-10-02"/>
        <s v="2024-11-14"/>
        <s v="2025-05-11"/>
        <s v="2025-03-18"/>
        <s v="2024-11-04"/>
        <s v="2025-02-07"/>
        <s v="2025-04-06"/>
        <s v="2024-09-08"/>
        <s v="2024-09-29"/>
        <s v="2025-02-06"/>
        <s v="2025-04-24"/>
        <s v="2024-11-28"/>
        <s v="2024-07-11"/>
        <s v="2024-10-29"/>
        <s v="2024-07-15"/>
        <s v="2024-08-31"/>
        <s v="2024-06-05"/>
        <s v="2024-06-16"/>
        <s v="2024-08-22"/>
        <s v="2025-04-22"/>
        <s v="2025-01-01"/>
        <s v="2024-12-21"/>
        <s v="2024-10-22"/>
        <s v="2024-07-23"/>
        <s v="2024-08-11"/>
        <s v="2024-08-24"/>
        <s v="2025-02-19"/>
        <s v="2025-04-01"/>
        <s v="2025-04-08"/>
        <s v="2024-11-12"/>
        <s v="2024-12-03"/>
        <s v="2025-04-28"/>
        <s v="2024-12-31"/>
        <s v="2024-08-14"/>
        <s v="2024-12-05"/>
        <s v="2025-01-17"/>
        <s v="2024-06-20"/>
        <s v="2024-07-10"/>
        <s v="2025-03-21"/>
        <s v="2024-12-17"/>
        <s v="2024-07-28"/>
        <s v="2025-01-11"/>
        <s v="2024-12-22"/>
        <s v="2024-10-04"/>
        <s v="2024-11-29"/>
        <s v="2024-09-11"/>
        <s v="2024-08-15"/>
        <s v="2024-12-19"/>
        <s v="2024-09-14"/>
        <s v="2025-04-07"/>
        <s v="2025-01-15"/>
        <s v="2024-06-02"/>
        <s v="2024-11-21"/>
        <s v="2024-12-29"/>
        <s v="2025-03-19"/>
        <s v="2024-07-18"/>
        <s v="2025-05-01"/>
        <s v="2025-05-06"/>
        <s v="2024-10-08"/>
        <s v="2025-05-13"/>
        <s v="2024-08-07"/>
        <s v="2024-06-12"/>
        <s v="2024-07-01"/>
        <s v="2025-04-29"/>
        <s v="2024-06-01"/>
        <s v="2024-07-16"/>
        <s v="2025-01-18"/>
        <s v="2025-03-06"/>
        <s v="2024-10-25"/>
        <s v="2025-01-12"/>
        <s v="2024-10-11"/>
        <s v="2024-08-27"/>
        <s v="2025-03-27"/>
        <s v="2024-08-03"/>
        <s v="2025-01-14"/>
        <s v="2024-08-05"/>
        <s v="2025-02-12"/>
        <s v="2024-10-27"/>
        <s v="2024-08-20"/>
        <s v="2025-01-30"/>
        <s v="2025-02-20"/>
        <s v="2025-04-13"/>
        <s v="2024-11-05"/>
        <s v="2024-10-17"/>
        <s v="2024-10-12"/>
        <s v="2024-06-07"/>
        <s v="2024-11-26"/>
        <s v="2025-03-22"/>
        <s v="2024-10-03"/>
        <s v="2025-05-09"/>
        <s v="2024-09-25"/>
        <s v="2025-04-17"/>
        <s v="2024-12-20"/>
        <s v="2024-11-17"/>
        <s v="2025-05-14"/>
        <s v="2024-06-19"/>
        <s v="2025-02-11"/>
        <s v="2024-12-24"/>
      </sharedItems>
    </cacheField>
    <cacheField name="Content Type" numFmtId="0">
      <sharedItems>
        <s v="Reel"/>
        <s v="Text"/>
        <s v="Story"/>
        <s v="Carousel"/>
        <s v="Image"/>
        <s v="Video"/>
      </sharedItems>
    </cacheField>
    <cacheField name="Post Text" numFmtId="0">
      <sharedItems>
        <s v="Explore the latest reel on Myntra! Trendy styles await."/>
        <s v="Explore the latest text on Myntra! Trendy styles await."/>
        <s v="Explore the latest story on Myntra! Trendy styles await."/>
        <s v="Explore the latest carousel on Myntra! Trendy styles await."/>
        <s v="Explore the latest image on Myntra! Trendy styles await."/>
        <s v="Explore the latest video on Myntra! Trendy styles await."/>
      </sharedItems>
    </cacheField>
    <cacheField name="Likes" numFmtId="0">
      <sharedItems containsSemiMixedTypes="0" containsString="0" containsNumber="1" containsInteger="1">
        <n v="1461.0"/>
        <n v="4054.0"/>
        <n v="2795.0"/>
        <n v="2404.0"/>
        <n v="3557.0"/>
        <n v="2945.0"/>
        <n v="3860.0"/>
        <n v="3929.0"/>
        <n v="3784.0"/>
        <n v="4241.0"/>
        <n v="1792.0"/>
        <n v="1946.0"/>
        <n v="1171.0"/>
        <n v="4242.0"/>
        <n v="3888.0"/>
        <n v="3452.0"/>
        <n v="4441.0"/>
        <n v="3000.0"/>
        <n v="1071.0"/>
        <n v="4838.0"/>
        <n v="1570.0"/>
        <n v="1606.0"/>
        <n v="3961.0"/>
        <n v="3128.0"/>
        <n v="3009.0"/>
        <n v="2076.0"/>
        <n v="432.0"/>
        <n v="2566.0"/>
        <n v="3095.0"/>
        <n v="438.0"/>
        <n v="2278.0"/>
        <n v="1407.0"/>
        <n v="1652.0"/>
        <n v="3775.0"/>
        <n v="4518.0"/>
        <n v="3024.0"/>
        <n v="3138.0"/>
        <n v="3564.0"/>
        <n v="4750.0"/>
        <n v="456.0"/>
        <n v="1543.0"/>
        <n v="2174.0"/>
        <n v="2358.0"/>
        <n v="3371.0"/>
        <n v="1108.0"/>
        <n v="2704.0"/>
        <n v="1950.0"/>
        <n v="2164.0"/>
        <n v="2754.0"/>
        <n v="2200.0"/>
        <n v="947.0"/>
        <n v="804.0"/>
        <n v="1686.0"/>
        <n v="1226.0"/>
        <n v="2946.0"/>
        <n v="2825.0"/>
        <n v="103.0"/>
        <n v="2180.0"/>
        <n v="904.0"/>
        <n v="4886.0"/>
        <n v="53.0"/>
        <n v="4507.0"/>
        <n v="2878.0"/>
        <n v="1881.0"/>
        <n v="4712.0"/>
        <n v="2610.0"/>
        <n v="1292.0"/>
        <n v="199.0"/>
        <n v="2551.0"/>
        <n v="296.0"/>
        <n v="4126.0"/>
        <n v="1855.0"/>
        <n v="1674.0"/>
        <n v="1121.0"/>
        <n v="1249.0"/>
        <n v="954.0"/>
        <n v="3068.0"/>
        <n v="2103.0"/>
        <n v="1816.0"/>
        <n v="725.0"/>
        <n v="1094.0"/>
        <n v="1841.0"/>
        <n v="4177.0"/>
        <n v="3428.0"/>
        <n v="1436.0"/>
        <n v="302.0"/>
        <n v="2214.0"/>
        <n v="3861.0"/>
        <n v="1263.0"/>
        <n v="3801.0"/>
        <n v="1431.0"/>
        <n v="2647.0"/>
        <n v="3182.0"/>
        <n v="1238.0"/>
        <n v="4739.0"/>
        <n v="1575.0"/>
        <n v="4171.0"/>
        <n v="1766.0"/>
        <n v="4450.0"/>
        <n v="1000.0"/>
        <n v="3689.0"/>
        <n v="3655.0"/>
        <n v="498.0"/>
        <n v="4619.0"/>
        <n v="4832.0"/>
        <n v="4050.0"/>
        <n v="3649.0"/>
        <n v="3523.0"/>
        <n v="2719.0"/>
        <n v="1957.0"/>
        <n v="4419.0"/>
        <n v="4000.0"/>
        <n v="2493.0"/>
        <n v="3704.0"/>
        <n v="4551.0"/>
        <n v="1970.0"/>
        <n v="780.0"/>
        <n v="3432.0"/>
        <n v="4363.0"/>
        <n v="736.0"/>
        <n v="3811.0"/>
        <n v="4158.0"/>
        <n v="3092.0"/>
        <n v="2147.0"/>
        <n v="2936.0"/>
        <n v="4840.0"/>
        <n v="1947.0"/>
        <n v="2072.0"/>
        <n v="3731.0"/>
        <n v="4213.0"/>
        <n v="3134.0"/>
        <n v="3008.0"/>
        <n v="305.0"/>
        <n v="2746.0"/>
        <n v="2291.0"/>
        <n v="3170.0"/>
        <n v="2070.0"/>
        <n v="80.0"/>
        <n v="4929.0"/>
        <n v="1878.0"/>
        <n v="3065.0"/>
        <n v="3256.0"/>
        <n v="4133.0"/>
        <n v="1702.0"/>
        <n v="4295.0"/>
        <n v="3559.0"/>
        <n v="4804.0"/>
        <n v="754.0"/>
        <n v="985.0"/>
        <n v="2283.0"/>
        <n v="3352.0"/>
        <n v="4775.0"/>
        <n v="1762.0"/>
        <n v="2120.0"/>
        <n v="1082.0"/>
        <n v="4671.0"/>
        <n v="3430.0"/>
        <n v="4501.0"/>
        <n v="4934.0"/>
        <n v="3239.0"/>
        <n v="1076.0"/>
        <n v="4771.0"/>
        <n v="2418.0"/>
        <n v="3809.0"/>
        <n v="3577.0"/>
        <n v="1018.0"/>
        <n v="3073.0"/>
        <n v="1330.0"/>
        <n v="3828.0"/>
        <n v="142.0"/>
        <n v="3798.0"/>
        <n v="3099.0"/>
        <n v="129.0"/>
        <n v="3796.0"/>
        <n v="3711.0"/>
        <n v="606.0"/>
        <n v="4689.0"/>
        <n v="360.0"/>
        <n v="3215.0"/>
        <n v="4523.0"/>
        <n v="4292.0"/>
        <n v="1644.0"/>
        <n v="2728.0"/>
        <n v="3360.0"/>
        <n v="1963.0"/>
        <n v="4285.0"/>
        <n v="1176.0"/>
        <n v="4858.0"/>
        <n v="4350.0"/>
        <n v="914.0"/>
        <n v="1813.0"/>
        <n v="4782.0"/>
        <n v="1048.0"/>
        <n v="2509.0"/>
        <n v="3718.0"/>
        <n v="802.0"/>
        <n v="1871.0"/>
        <n v="3773.0"/>
        <n v="2234.0"/>
        <n v="3820.0"/>
        <n v="941.0"/>
        <n v="4274.0"/>
        <n v="2949.0"/>
        <n v="3160.0"/>
        <n v="257.0"/>
        <n v="3874.0"/>
        <n v="2696.0"/>
        <n v="521.0"/>
        <n v="4872.0"/>
        <n v="1509.0"/>
        <n v="4606.0"/>
        <n v="1869.0"/>
        <n v="1188.0"/>
        <n v="84.0"/>
        <n v="4453.0"/>
        <n v="1814.0"/>
        <n v="3338.0"/>
        <n v="602.0"/>
        <n v="4672.0"/>
        <n v="1741.0"/>
        <n v="246.0"/>
        <n v="4808.0"/>
        <n v="4799.0"/>
        <n v="3663.0"/>
        <n v="1430.0"/>
        <n v="249.0"/>
        <n v="2382.0"/>
        <n v="1272.0"/>
        <n v="3196.0"/>
        <n v="1257.0"/>
        <n v="3770.0"/>
        <n v="4725.0"/>
        <n v="4188.0"/>
        <n v="929.0"/>
        <n v="4321.0"/>
        <n v="4767.0"/>
        <n v="3592.0"/>
        <n v="4661.0"/>
        <n v="4134.0"/>
        <n v="400.0"/>
        <n v="3960.0"/>
        <n v="886.0"/>
        <n v="827.0"/>
        <n v="3813.0"/>
        <n v="1377.0"/>
        <n v="2089.0"/>
        <n v="3791.0"/>
        <n v="2692.0"/>
        <n v="3767.0"/>
        <n v="2143.0"/>
        <n v="3090.0"/>
        <n v="3601.0"/>
        <n v="562.0"/>
        <n v="4332.0"/>
        <n v="4853.0"/>
        <n v="1206.0"/>
        <n v="2603.0"/>
        <n v="59.0"/>
        <n v="1877.0"/>
        <n v="4182.0"/>
        <n v="4187.0"/>
        <n v="4579.0"/>
        <n v="4561.0"/>
        <n v="3774.0"/>
        <n v="3575.0"/>
        <n v="4941.0"/>
        <n v="3641.0"/>
        <n v="3535.0"/>
        <n v="1556.0"/>
        <n v="4236.0"/>
        <n v="4516.0"/>
        <n v="4905.0"/>
        <n v="4275.0"/>
        <n v="3166.0"/>
        <n v="1488.0"/>
        <n v="3367.0"/>
        <n v="571.0"/>
        <n v="4021.0"/>
        <n v="3389.0"/>
        <n v="1164.0"/>
        <n v="4780.0"/>
        <n v="2751.0"/>
        <n v="2107.0"/>
        <n v="4663.0"/>
        <n v="880.0"/>
        <n v="2634.0"/>
        <n v="4731.0"/>
        <n v="1952.0"/>
        <n v="3440.0"/>
        <n v="2166.0"/>
        <n v="4303.0"/>
        <n v="2581.0"/>
        <n v="4494.0"/>
      </sharedItems>
    </cacheField>
    <cacheField name="Shares" numFmtId="0">
      <sharedItems containsSemiMixedTypes="0" containsString="0" containsNumber="1" containsInteger="1">
        <n v="184.0"/>
        <n v="389.0"/>
        <n v="105.0"/>
        <n v="363.0"/>
        <n v="687.0"/>
        <n v="930.0"/>
        <n v="201.0"/>
        <n v="262.0"/>
        <n v="808.0"/>
        <n v="902.0"/>
        <n v="614.0"/>
        <n v="686.0"/>
        <n v="286.0"/>
        <n v="555.0"/>
        <n v="604.0"/>
        <n v="377.0"/>
        <n v="511.0"/>
        <n v="382.0"/>
        <n v="519.0"/>
        <n v="488.0"/>
        <n v="640.0"/>
        <n v="187.0"/>
        <n v="547.0"/>
        <n v="761.0"/>
        <n v="211.0"/>
        <n v="413.0"/>
        <n v="195.0"/>
        <n v="624.0"/>
        <n v="118.0"/>
        <n v="39.0"/>
        <n v="153.0"/>
        <n v="10.0"/>
        <n v="400.0"/>
        <n v="89.0"/>
        <n v="16.0"/>
        <n v="285.0"/>
        <n v="925.0"/>
        <n v="123.0"/>
        <n v="629.0"/>
        <n v="151.0"/>
        <n v="820.0"/>
        <n v="658.0"/>
        <n v="784.0"/>
        <n v="106.0"/>
        <n v="177.0"/>
        <n v="752.0"/>
        <n v="295.0"/>
        <n v="549.0"/>
        <n v="130.0"/>
        <n v="504.0"/>
        <n v="338.0"/>
        <n v="639.0"/>
        <n v="904.0"/>
        <n v="119.0"/>
        <n v="498.0"/>
        <n v="535.0"/>
        <n v="770.0"/>
        <n v="263.0"/>
        <n v="973.0"/>
        <n v="983.0"/>
        <n v="81.0"/>
        <n v="217.0"/>
        <n v="248.0"/>
        <n v="501.0"/>
        <n v="171.0"/>
        <n v="568.0"/>
        <n v="126.0"/>
        <n v="626.0"/>
        <n v="772.0"/>
        <n v="915.0"/>
        <n v="60.0"/>
        <n v="426.0"/>
        <n v="200.0"/>
        <n v="929.0"/>
        <n v="135.0"/>
        <n v="116.0"/>
        <n v="324.0"/>
        <n v="137.0"/>
        <n v="892.0"/>
        <n v="29.0"/>
        <n v="88.0"/>
        <n v="472.0"/>
        <n v="851.0"/>
        <n v="569.0"/>
        <n v="305.0"/>
        <n v="765.0"/>
        <n v="47.0"/>
        <n v="249.0"/>
        <n v="960.0"/>
        <n v="397.0"/>
        <n v="967.0"/>
        <n v="951.0"/>
        <n v="304.0"/>
        <n v="559.0"/>
        <n v="366.0"/>
        <n v="527.0"/>
        <n v="771.0"/>
        <n v="548.0"/>
        <n v="92.0"/>
        <n v="978.0"/>
        <n v="48.0"/>
        <n v="38.0"/>
        <n v="821.0"/>
        <n v="893.0"/>
        <n v="871.0"/>
        <n v="215.0"/>
        <n v="753.0"/>
        <n v="17.0"/>
        <n v="877.0"/>
        <n v="236.0"/>
        <n v="689.0"/>
        <n v="97.0"/>
        <n v="186.0"/>
        <n v="451.0"/>
        <n v="714.0"/>
        <n v="675.0"/>
        <n v="928.0"/>
        <n v="701.0"/>
        <n v="869.0"/>
        <n v="649.0"/>
        <n v="866.0"/>
        <n v="167.0"/>
        <n v="652.0"/>
        <n v="430.0"/>
        <n v="439.0"/>
        <n v="842.0"/>
        <n v="532.0"/>
        <n v="115.0"/>
        <n v="253.0"/>
        <n v="888.0"/>
        <n v="94.0"/>
        <n v="156.0"/>
        <n v="78.0"/>
        <n v="857.0"/>
        <n v="275.0"/>
        <n v="362.0"/>
        <n v="749.0"/>
        <n v="62.0"/>
        <n v="459.0"/>
        <n v="466.0"/>
        <n v="750.0"/>
        <n v="853.0"/>
        <n v="59.0"/>
        <n v="550.0"/>
        <n v="197.0"/>
        <n v="932.0"/>
        <n v="210.0"/>
        <n v="941.0"/>
        <n v="173.0"/>
        <n v="405.0"/>
        <n v="158.0"/>
        <n v="209.0"/>
        <n v="876.0"/>
        <n v="566.0"/>
        <n v="375.0"/>
        <n v="971.0"/>
        <n v="43.0"/>
        <n v="313.0"/>
        <n v="818.0"/>
        <n v="754.0"/>
        <n v="273.0"/>
        <n v="596.0"/>
        <n v="447.0"/>
        <n v="553.0"/>
        <n v="148.0"/>
        <n v="31.0"/>
        <n v="694.0"/>
        <n v="643.0"/>
        <n v="667.0"/>
        <n v="352.0"/>
        <n v="789.0"/>
        <n v="134.0"/>
        <n v="590.0"/>
        <n v="61.0"/>
        <n v="51.0"/>
        <n v="546.0"/>
        <n v="533.0"/>
        <n v="525.0"/>
        <n v="213.0"/>
        <n v="886.0"/>
        <n v="464.0"/>
        <n v="317.0"/>
        <n v="623.0"/>
        <n v="721.0"/>
        <n v="374.0"/>
        <n v="385.0"/>
        <n v="252.0"/>
        <n v="299.0"/>
        <n v="653.0"/>
        <n v="697.0"/>
        <n v="121.0"/>
        <n v="340.0"/>
        <n v="476.0"/>
        <n v="204.0"/>
        <n v="966.0"/>
        <n v="884.0"/>
        <n v="628.0"/>
        <n v="746.0"/>
        <n v="931.0"/>
        <n v="453.0"/>
        <n v="470.0"/>
        <n v="897.0"/>
        <n v="111.0"/>
        <n v="277.0"/>
        <n v="594.0"/>
        <n v="325.0"/>
        <n v="164.0"/>
        <n v="149.0"/>
        <n v="376.0"/>
        <n v="592.0"/>
        <n v="265.0"/>
        <n v="465.0"/>
        <n v="19.0"/>
        <n v="917.0"/>
        <n v="942.0"/>
        <n v="192.0"/>
        <n v="874.0"/>
        <n v="190.0"/>
        <n v="911.0"/>
        <n v="935.0"/>
        <n v="824.0"/>
        <n v="680.0"/>
        <n v="266.0"/>
        <n v="77.0"/>
        <n v="796.0"/>
        <n v="593.0"/>
        <n v="514.0"/>
        <n v="12.0"/>
        <n v="695.0"/>
        <n v="837.0"/>
        <n v="238.0"/>
        <n v="690.0"/>
        <n v="163.0"/>
        <n v="745.0"/>
        <n v="66.0"/>
        <n v="125.0"/>
        <n v="239.0"/>
        <n v="414.0"/>
        <n v="226.0"/>
        <n v="494.0"/>
        <n v="831.0"/>
        <n v="711.0"/>
        <n v="836.0"/>
        <n v="845.0"/>
        <n v="90.0"/>
        <n v="417.0"/>
        <n v="302.0"/>
        <n v="794.0"/>
        <n v="344.0"/>
        <n v="616.0"/>
        <n v="691.0"/>
        <n v="33.0"/>
        <n v="145.0"/>
        <n v="297.0"/>
        <n v="726.0"/>
        <n v="13.0"/>
        <n v="354.0"/>
        <n v="517.0"/>
        <n v="717.0"/>
      </sharedItems>
    </cacheField>
    <cacheField name="Comments" numFmtId="0">
      <sharedItems containsSemiMixedTypes="0" containsString="0" containsNumber="1" containsInteger="1">
        <n v="344.0"/>
        <n v="493.0"/>
        <n v="49.0"/>
        <n v="138.0"/>
        <n v="424.0"/>
        <n v="355.0"/>
        <n v="279.0"/>
        <n v="278.0"/>
        <n v="404.0"/>
        <n v="47.0"/>
        <n v="497.0"/>
        <n v="377.0"/>
        <n v="231.0"/>
        <n v="131.0"/>
        <n v="128.0"/>
        <n v="360.0"/>
        <n v="70.0"/>
        <n v="325.0"/>
        <n v="22.0"/>
        <n v="373.0"/>
        <n v="260.0"/>
        <n v="316.0"/>
        <n v="197.0"/>
        <n v="358.0"/>
        <n v="104.0"/>
        <n v="123.0"/>
        <n v="37.0"/>
        <n v="78.0"/>
        <n v="275.0"/>
        <n v="321.0"/>
        <n v="351.0"/>
        <n v="357.0"/>
        <n v="239.0"/>
        <n v="383.0"/>
        <n v="350.0"/>
        <n v="291.0"/>
        <n v="177.0"/>
        <n v="415.0"/>
        <n v="428.0"/>
        <n v="333.0"/>
        <n v="15.0"/>
        <n v="327.0"/>
        <n v="212.0"/>
        <n v="153.0"/>
        <n v="478.0"/>
        <n v="274.0"/>
        <n v="90.0"/>
        <n v="43.0"/>
        <n v="472.0"/>
        <n v="7.0"/>
        <n v="367.0"/>
        <n v="295.0"/>
        <n v="19.0"/>
        <n v="387.0"/>
        <n v="63.0"/>
        <n v="409.0"/>
        <n v="379.0"/>
        <n v="13.0"/>
        <n v="416.0"/>
        <n v="99.0"/>
        <n v="280.0"/>
        <n v="127.0"/>
        <n v="288.0"/>
        <n v="496.0"/>
        <n v="400.0"/>
        <n v="205.0"/>
        <n v="141.0"/>
        <n v="486.0"/>
        <n v="174.0"/>
        <n v="18.0"/>
        <n v="420.0"/>
        <n v="329.0"/>
        <n v="103.0"/>
        <n v="41.0"/>
        <n v="21.0"/>
        <n v="342.0"/>
        <n v="55.0"/>
        <n v="85.0"/>
        <n v="430.0"/>
        <n v="152.0"/>
        <n v="101.0"/>
        <n v="401.0"/>
        <n v="26.0"/>
        <n v="170.0"/>
        <n v="160.0"/>
        <n v="444.0"/>
        <n v="135.0"/>
        <n v="86.0"/>
        <n v="143.0"/>
        <n v="162.0"/>
        <n v="306.0"/>
        <n v="286.0"/>
        <n v="42.0"/>
        <n v="499.0"/>
        <n v="10.0"/>
        <n v="347.0"/>
        <n v="413.0"/>
        <n v="482.0"/>
        <n v="285.0"/>
        <n v="238.0"/>
        <n v="369.0"/>
        <n v="488.0"/>
        <n v="44.0"/>
        <n v="458.0"/>
        <n v="405.0"/>
        <n v="207.0"/>
        <n v="301.0"/>
        <n v="412.0"/>
        <n v="140.0"/>
        <n v="225.0"/>
        <n v="216.0"/>
        <n v="241.0"/>
        <n v="442.0"/>
        <n v="393.0"/>
        <n v="211.0"/>
        <n v="71.0"/>
        <n v="434.0"/>
        <n v="243.0"/>
        <n v="203.0"/>
        <n v="485.0"/>
        <n v="386.0"/>
        <n v="80.0"/>
        <n v="452.0"/>
        <n v="179.0"/>
        <n v="142.0"/>
        <n v="266.0"/>
        <n v="289.0"/>
        <n v="270.0"/>
        <n v="257.0"/>
        <n v="287.0"/>
        <n v="130.0"/>
        <n v="206.0"/>
        <n v="423.0"/>
        <n v="484.0"/>
        <n v="366.0"/>
        <n v="164.0"/>
        <n v="323.0"/>
        <n v="156.0"/>
        <n v="56.0"/>
        <n v="54.0"/>
        <n v="200.0"/>
        <n v="332.0"/>
        <n v="35.0"/>
        <n v="253.0"/>
        <n v="183.0"/>
        <n v="171.0"/>
        <n v="136.0"/>
        <n v="395.0"/>
        <n v="290.0"/>
        <n v="470.0"/>
        <n v="403.0"/>
        <n v="202.0"/>
        <n v="157.0"/>
        <n v="392.0"/>
        <n v="150.0"/>
        <n v="215.0"/>
        <n v="500.0"/>
        <n v="376.0"/>
        <n v="394.0"/>
        <n v="129.0"/>
        <n v="246.0"/>
        <n v="72.0"/>
        <n v="82.0"/>
        <n v="450.0"/>
        <n v="310.0"/>
        <n v="244.0"/>
        <n v="335.0"/>
        <n v="38.0"/>
        <n v="432.0"/>
        <n v="268.0"/>
        <n v="281.0"/>
        <n v="297.0"/>
        <n v="398.0"/>
        <n v="443.0"/>
        <n v="315.0"/>
        <n v="176.0"/>
        <n v="163.0"/>
        <n v="230.0"/>
        <n v="490.0"/>
        <n v="363.0"/>
        <n v="118.0"/>
        <n v="32.0"/>
        <n v="318.0"/>
        <n v="320.0"/>
        <n v="33.0"/>
        <n v="134.0"/>
        <n v="362.0"/>
        <n v="322.0"/>
        <n v="172.0"/>
        <n v="340.0"/>
        <n v="375.0"/>
        <n v="433.0"/>
        <n v="8.0"/>
        <n v="402.0"/>
        <n v="69.0"/>
        <n v="228.0"/>
        <n v="64.0"/>
        <n v="204.0"/>
        <n v="75.0"/>
        <n v="149.0"/>
        <n v="219.0"/>
        <n v="36.0"/>
        <n v="93.0"/>
        <n v="240.0"/>
        <n v="31.0"/>
        <n v="300.0"/>
        <n v="441.0"/>
        <n v="39.0"/>
        <n v="111.0"/>
        <n v="46.0"/>
        <n v="345.0"/>
        <n v="298.0"/>
        <n v="169.0"/>
        <n v="385.0"/>
        <n v="341.0"/>
        <n v="168.0"/>
        <n v="57.0"/>
        <n v="352.0"/>
        <n v="77.0"/>
        <n v="229.0"/>
        <n v="324.0"/>
        <n v="380.0"/>
        <n v="349.0"/>
        <n v="276.0"/>
        <n v="20.0"/>
        <n v="117.0"/>
        <n v="45.0"/>
      </sharedItems>
    </cacheField>
    <cacheField name="Impressions" numFmtId="0">
      <sharedItems containsSemiMixedTypes="0" containsString="0" containsNumber="1" containsInteger="1">
        <n v="21915.0"/>
        <n v="64864.0"/>
        <n v="53105.0"/>
        <n v="19232.0"/>
        <n v="71140.0"/>
        <n v="23560.0"/>
        <n v="61760.0"/>
        <n v="43219.0"/>
        <n v="56760.0"/>
        <n v="72097.0"/>
        <n v="25088.0"/>
        <n v="23352.0"/>
        <n v="22249.0"/>
        <n v="33936.0"/>
        <n v="77760.0"/>
        <n v="55232.0"/>
        <n v="53292.0"/>
        <n v="36000.0"/>
        <n v="16065.0"/>
        <n v="77026.0"/>
        <n v="72570.0"/>
        <n v="25120.0"/>
        <n v="32120.0"/>
        <n v="67337.0"/>
        <n v="59432.0"/>
        <n v="42126.0"/>
        <n v="33216.0"/>
        <n v="6912.0"/>
        <n v="12830.0"/>
        <n v="55710.0"/>
        <n v="3066.0"/>
        <n v="13668.0"/>
        <n v="16884.0"/>
        <n v="29736.0"/>
        <n v="33975.0"/>
        <n v="67770.0"/>
        <n v="24192.0"/>
        <n v="28242.0"/>
        <n v="60588.0"/>
        <n v="38000.0"/>
        <n v="8208.0"/>
        <n v="12344.0"/>
        <n v="13044.0"/>
        <n v="35370.0"/>
        <n v="50565.0"/>
        <n v="8864.0"/>
        <n v="21632.0"/>
        <n v="37050.0"/>
        <n v="28132.0"/>
        <n v="22032.0"/>
        <n v="37400.0"/>
        <n v="10417.0"/>
        <n v="4020.0"/>
        <n v="18546.0"/>
        <n v="14712.0"/>
        <n v="29460.0"/>
        <n v="45200.0"/>
        <n v="1030.0"/>
        <n v="30520.0"/>
        <n v="11752.0"/>
        <n v="43974.0"/>
        <n v="954.0"/>
        <n v="90140.0"/>
        <n v="43170.0"/>
        <n v="20691.0"/>
        <n v="3024.0"/>
        <n v="84816.0"/>
        <n v="15660.0"/>
        <n v="25840.0"/>
        <n v="3582.0"/>
        <n v="30612.0"/>
        <n v="5624.0"/>
        <n v="78394.0"/>
        <n v="16695.0"/>
        <n v="21762.0"/>
        <n v="15694.0"/>
        <n v="8743.0"/>
        <n v="19080.0"/>
        <n v="39884.0"/>
        <n v="39957.0"/>
        <n v="19976.0"/>
        <n v="14500.0"/>
        <n v="9846.0"/>
        <n v="34979.0"/>
        <n v="25062.0"/>
        <n v="58276.0"/>
        <n v="12924.0"/>
        <n v="5738.0"/>
        <n v="15498.0"/>
        <n v="69498.0"/>
        <n v="25260.0"/>
        <n v="38010.0"/>
        <n v="8586.0"/>
        <n v="18529.0"/>
        <n v="57276.0"/>
        <n v="19808.0"/>
        <n v="61607.0"/>
        <n v="25200.0"/>
        <n v="66736.0"/>
        <n v="24724.0"/>
        <n v="75650.0"/>
        <n v="6000.0"/>
        <n v="40579.0"/>
        <n v="32895.0"/>
        <n v="4482.0"/>
        <n v="69285.0"/>
        <n v="91808.0"/>
        <n v="52650.0"/>
        <n v="25543.0"/>
        <n v="38753.0"/>
        <n v="40785.0"/>
        <n v="17613.0"/>
        <n v="44190.0"/>
        <n v="40000.0"/>
        <n v="42381.0"/>
        <n v="25928.0"/>
        <n v="20878.0"/>
        <n v="68265.0"/>
        <n v="9850.0"/>
        <n v="8580.0"/>
        <n v="4980.0"/>
        <n v="54912.0"/>
        <n v="21815.0"/>
        <n v="5152.0"/>
        <n v="34299.0"/>
        <n v="45738.0"/>
        <n v="65588.0"/>
        <n v="27828.0"/>
        <n v="17176.0"/>
        <n v="38168.0"/>
        <n v="43560.0"/>
        <n v="21417.0"/>
        <n v="37296.0"/>
        <n v="55965.0"/>
        <n v="75834.0"/>
        <n v="21938.0"/>
        <n v="15040.0"/>
        <n v="4575.0"/>
        <n v="32952.0"/>
        <n v="18328.0"/>
        <n v="19020.0"/>
        <n v="39330.0"/>
        <n v="1040.0"/>
        <n v="93651.0"/>
        <n v="37560.0"/>
        <n v="18390.0"/>
        <n v="26048.0"/>
        <n v="24798.0"/>
        <n v="34040.0"/>
        <n v="85900.0"/>
        <n v="35590.0"/>
        <n v="28824.0"/>
        <n v="6786.0"/>
        <n v="6895.0"/>
        <n v="22830.0"/>
        <n v="43576.0"/>
        <n v="47750.0"/>
        <n v="22906.0"/>
        <n v="12720.0"/>
        <n v="19476.0"/>
        <n v="51381.0"/>
        <n v="48020.0"/>
        <n v="22505.0"/>
        <n v="39472.0"/>
        <n v="22673.0"/>
        <n v="11836.0"/>
        <n v="57252.0"/>
        <n v="43524.0"/>
        <n v="34281.0"/>
        <n v="67963.0"/>
        <n v="18324.0"/>
        <n v="52241.0"/>
        <n v="15960.0"/>
        <n v="30624.0"/>
        <n v="1704.0"/>
        <n v="75960.0"/>
        <n v="43386.0"/>
        <n v="1290.0"/>
        <n v="64532.0"/>
        <n v="48243.0"/>
        <n v="7878.0"/>
        <n v="51579.0"/>
        <n v="4680.0"/>
        <n v="32150.0"/>
        <n v="49753.0"/>
        <n v="55796.0"/>
        <n v="27948.0"/>
        <n v="40920.0"/>
        <n v="60480.0"/>
        <n v="39260.0"/>
        <n v="55705.0"/>
        <n v="14112.0"/>
        <n v="53438.0"/>
        <n v="60900.0"/>
        <n v="11882.0"/>
        <n v="19943.0"/>
        <n v="86076.0"/>
        <n v="9432.0"/>
        <n v="35126.0"/>
        <n v="70642.0"/>
        <n v="14436.0"/>
        <n v="29936.0"/>
        <n v="71687.0"/>
        <n v="11170.0"/>
        <n v="45840.0"/>
        <n v="14115.0"/>
        <n v="34192.0"/>
        <n v="44235.0"/>
        <n v="44240.0"/>
        <n v="3341.0"/>
        <n v="38740.0"/>
        <n v="45832.0"/>
        <n v="4168.0"/>
        <n v="82824.0"/>
        <n v="30180.0"/>
        <n v="92120.0"/>
        <n v="14952.0"/>
        <n v="7128.0"/>
        <n v="588.0"/>
        <n v="31171.0"/>
        <n v="25396.0"/>
        <n v="60084.0"/>
        <n v="4214.0"/>
        <n v="88768.0"/>
        <n v="8705.0"/>
        <n v="4674.0"/>
        <n v="72120.0"/>
        <n v="43191.0"/>
        <n v="51282.0"/>
        <n v="21450.0"/>
        <n v="1494.0"/>
        <n v="38112.0"/>
        <n v="24168.0"/>
        <n v="35156.0"/>
        <n v="12570.0"/>
        <n v="71630.0"/>
        <n v="75600.0"/>
        <n v="20940.0"/>
        <n v="16722.0"/>
        <n v="30247.0"/>
        <n v="28602.0"/>
        <n v="50288.0"/>
        <n v="23305.0"/>
        <n v="41340.0"/>
        <n v="6400.0"/>
        <n v="35640.0"/>
        <n v="4430.0"/>
        <n v="14886.0"/>
        <n v="68634.0"/>
        <n v="16712.0"/>
        <n v="53074.0"/>
        <n v="21536.0"/>
        <n v="37670.0"/>
        <n v="40717.0"/>
        <n v="49440.0"/>
        <n v="21606.0"/>
        <n v="3372.0"/>
        <n v="60648.0"/>
        <n v="72795.0"/>
        <n v="9648.0"/>
        <n v="13015.0"/>
        <n v="590.0"/>
        <n v="11262.0"/>
        <n v="50184.0"/>
        <n v="66992.0"/>
        <n v="59527.0"/>
        <n v="22805.0"/>
        <n v="60384.0"/>
        <n v="39528.0"/>
        <n v="40051.0"/>
        <n v="53025.0"/>
        <n v="17410.0"/>
        <n v="9336.0"/>
        <n v="21180.0"/>
        <n v="49676.0"/>
        <n v="98100.0"/>
        <n v="64125.0"/>
        <n v="56988.0"/>
        <n v="19344.0"/>
        <n v="63973.0"/>
        <n v="9707.0"/>
        <n v="36189.0"/>
        <n v="20334.0"/>
        <n v="6984.0"/>
        <n v="86040.0"/>
        <n v="44016.0"/>
        <n v="35819.0"/>
        <n v="69945.0"/>
        <n v="12320.0"/>
        <n v="28974.0"/>
        <n v="28386.0"/>
        <n v="15616.0"/>
        <n v="58480.0"/>
        <n v="10830.0"/>
        <n v="86060.0"/>
        <n v="23229.0"/>
        <n v="62916.0"/>
      </sharedItems>
    </cacheField>
    <cacheField name="Reach" numFmtId="0">
      <sharedItems containsSemiMixedTypes="0" containsString="0" containsNumber="1" containsInteger="1">
        <n v="21675.0"/>
        <n v="64383.0"/>
        <n v="52307.0"/>
        <n v="18636.0"/>
        <n v="70701.0"/>
        <n v="23275.0"/>
        <n v="61660.0"/>
        <n v="42841.0"/>
        <n v="56343.0"/>
        <n v="71598.0"/>
        <n v="24675.0"/>
        <n v="22982.0"/>
        <n v="21282.0"/>
        <n v="33802.0"/>
        <n v="77167.0"/>
        <n v="55075.0"/>
        <n v="53082.0"/>
        <n v="35819.0"/>
        <n v="15865.0"/>
        <n v="76881.0"/>
        <n v="72396.0"/>
        <n v="24613.0"/>
        <n v="31736.0"/>
        <n v="66615.0"/>
        <n v="59182.0"/>
        <n v="41309.0"/>
        <n v="32244.0"/>
        <n v="6259.0"/>
        <n v="12264.0"/>
        <n v="54808.0"/>
        <n v="2701.0"/>
        <n v="12676.0"/>
        <n v="15954.0"/>
        <n v="28771.0"/>
        <n v="33310.0"/>
        <n v="67621.0"/>
        <n v="23518.0"/>
        <n v="27550.0"/>
        <n v="59627.0"/>
        <n v="37792.0"/>
        <n v="7377.0"/>
        <n v="11496.0"/>
        <n v="12206.0"/>
        <n v="34475.0"/>
        <n v="49816.0"/>
        <n v="8710.0"/>
        <n v="20792.0"/>
        <n v="36272.0"/>
        <n v="27361.0"/>
        <n v="21288.0"/>
        <n v="36938.0"/>
        <n v="9730.0"/>
        <n v="3144.0"/>
        <n v="18171.0"/>
        <n v="14049.0"/>
        <n v="28527.0"/>
        <n v="44739.0"/>
        <n v="410.0"/>
        <n v="30059.0"/>
        <n v="11580.0"/>
        <n v="43239.0"/>
        <n v="7.0"/>
        <n v="89591.0"/>
        <n v="42667.0"/>
        <n v="19987.0"/>
        <n v="2285.0"/>
        <n v="84691.0"/>
        <n v="15145.0"/>
        <n v="24916.0"/>
        <n v="2988.0"/>
        <n v="30360.0"/>
        <n v="5239.0"/>
        <n v="77798.0"/>
        <n v="16330.0"/>
        <n v="20998.0"/>
        <n v="14957.0"/>
        <n v="8538.0"/>
        <n v="18859.0"/>
        <n v="39404.0"/>
        <n v="39466.0"/>
        <n v="19262.0"/>
        <n v="13637.0"/>
        <n v="9609.0"/>
        <n v="34154.0"/>
        <n v="24847.0"/>
        <n v="58052.0"/>
        <n v="12701.0"/>
        <n v="4890.0"/>
        <n v="14800.0"/>
        <n v="68817.0"/>
        <n v="24615.0"/>
        <n v="37625.0"/>
        <n v="8396.0"/>
        <n v="17841.0"/>
        <n v="56890.0"/>
        <n v="19334.0"/>
        <n v="61333.0"/>
        <n v="24826.0"/>
        <n v="66634.0"/>
        <n v="24333.0"/>
        <n v="75008.0"/>
        <n v="5221.0"/>
        <n v="39588.0"/>
        <n v="32015.0"/>
        <n v="3647.0"/>
        <n v="69141.0"/>
        <n v="91296.0"/>
        <n v="51755.0"/>
        <n v="24963.0"/>
        <n v="38579.0"/>
        <n v="40281.0"/>
        <n v="16865.0"/>
        <n v="43582.0"/>
        <n v="39569.0"/>
        <n v="41991.0"/>
        <n v="25081.0"/>
        <n v="20190.0"/>
        <n v="67754.0"/>
        <n v="8924.0"/>
        <n v="8081.0"/>
        <n v="4185.0"/>
        <n v="53916.0"/>
        <n v="21481.0"/>
        <n v="4706.0"/>
        <n v="34088.0"/>
        <n v="45183.0"/>
        <n v="65049.0"/>
        <n v="27217.0"/>
        <n v="16483.0"/>
        <n v="37571.0"/>
        <n v="43225.0"/>
        <n v="20967.0"/>
        <n v="36467.0"/>
        <n v="55436.0"/>
        <n v="75437.0"/>
        <n v="21337.0"/>
        <n v="14639.0"/>
        <n v="3704.0"/>
        <n v="32147.0"/>
        <n v="18101.0"/>
        <n v="18559.0"/>
        <n v="38627.0"/>
        <n v="349.0"/>
        <n v="92810.0"/>
        <n v="36874.0"/>
        <n v="17875.0"/>
        <n v="25529.0"/>
        <n v="24620.0"/>
        <n v="33174.0"/>
        <n v="85788.0"/>
        <n v="35105.0"/>
        <n v="28370.0"/>
        <n v="6221.0"/>
        <n v="6757.0"/>
        <n v="22617.0"/>
        <n v="43338.0"/>
        <n v="47544.0"/>
        <n v="21925.0"/>
        <n v="12085.0"/>
        <n v="18654.0"/>
        <n v="50565.0"/>
        <n v="47305.0"/>
        <n v="21836.0"/>
        <n v="39025.0"/>
        <n v="22171.0"/>
        <n v="11596.0"/>
        <n v="56378.0"/>
        <n v="42743.0"/>
        <n v="33534.0"/>
        <n v="67839.0"/>
        <n v="18164.0"/>
        <n v="51605.0"/>
        <n v="15379.0"/>
        <n v="30229.0"/>
        <n v="995.0"/>
        <n v="75813.0"/>
        <n v="42921.0"/>
        <n v="839.0"/>
        <n v="63550.0"/>
        <n v="47579.0"/>
        <n v="7389.0"/>
        <n v="50924.0"/>
        <n v="4322.0"/>
        <n v="31404.0"/>
        <n v="49329.0"/>
        <n v="54826.0"/>
        <n v="27184.0"/>
        <n v="40816.0"/>
        <n v="59610.0"/>
        <n v="38771.0"/>
        <n v="55556.0"/>
        <n v="13588.0"/>
        <n v="52687.0"/>
        <n v="60592.0"/>
        <n v="11500.0"/>
        <n v="18959.0"/>
        <n v="85339.0"/>
        <n v="8882.0"/>
        <n v="34685.0"/>
        <n v="69749.0"/>
        <n v="14280.0"/>
        <n v="29576.0"/>
        <n v="71447.0"/>
        <n v="10569.0"/>
        <n v="45631.0"/>
        <n v="13838.0"/>
        <n v="33446.0"/>
        <n v="43705.0"/>
        <n v="43666.0"/>
        <n v="2753.0"/>
        <n v="12564.0"/>
        <n v="38552.0"/>
        <n v="45632.0"/>
        <n v="3399.0"/>
        <n v="82543.0"/>
        <n v="29689.0"/>
        <n v="91440.0"/>
        <n v="14309.0"/>
        <n v="6145.0"/>
        <n v="8.0"/>
        <n v="30565.0"/>
        <n v="25286.0"/>
        <n v="59842.0"/>
        <n v="3363.0"/>
        <n v="87833.0"/>
        <n v="8272.0"/>
        <n v="4390.0"/>
        <n v="71696.0"/>
        <n v="42228.0"/>
        <n v="50567.0"/>
        <n v="20509.0"/>
        <n v="1044.0"/>
        <n v="37437.0"/>
        <n v="23719.0"/>
        <n v="34444.0"/>
        <n v="11660.0"/>
        <n v="71322.0"/>
        <n v="74927.0"/>
        <n v="20471.0"/>
        <n v="15996.0"/>
        <n v="29254.0"/>
        <n v="28044.0"/>
        <n v="49490.0"/>
        <n v="22583.0"/>
        <n v="41050.0"/>
        <n v="5472.0"/>
        <n v="34850.0"/>
        <n v="4037.0"/>
        <n v="14129.0"/>
        <n v="68488.0"/>
        <n v="21869.0"/>
        <n v="16309.0"/>
        <n v="52613.0"/>
        <n v="21120.0"/>
        <n v="36807.0"/>
        <n v="40125.0"/>
        <n v="48524.0"/>
        <n v="21454.0"/>
        <n v="2940.0"/>
        <n v="60397.0"/>
        <n v="72237.0"/>
        <n v="9417.0"/>
        <n v="12130.0"/>
        <n v="475.0"/>
        <n v="10967.0"/>
        <n v="49351.0"/>
        <n v="66614.0"/>
        <n v="59400.0"/>
        <n v="21890.0"/>
        <n v="59490.0"/>
        <n v="20785.0"/>
        <n v="39154.0"/>
        <n v="39319.0"/>
        <n v="52791.0"/>
        <n v="16844.0"/>
        <n v="8875.0"/>
        <n v="20516.0"/>
        <n v="49257.0"/>
        <n v="97772.0"/>
        <n v="63650.0"/>
        <n v="56125.0"/>
        <n v="18395.0"/>
        <n v="63789.0"/>
        <n v="9418.0"/>
        <n v="35505.0"/>
        <n v="19443.0"/>
        <n v="6636.0"/>
        <n v="85743.0"/>
        <n v="43415.0"/>
        <n v="35340.0"/>
        <n v="69596.0"/>
        <n v="11978.0"/>
        <n v="28102.0"/>
        <n v="28185.0"/>
        <n v="15403.0"/>
        <n v="58146.0"/>
        <n v="10245.0"/>
        <n v="85823.0"/>
        <n v="22331.0"/>
        <n v="62688.0"/>
      </sharedItems>
    </cacheField>
    <cacheField name="Clicks" numFmtId="0">
      <sharedItems containsSemiMixedTypes="0" containsString="0" containsNumber="1" containsInteger="1">
        <n v="15.0"/>
        <n v="117.0"/>
        <n v="204.0"/>
        <n v="128.0"/>
        <n v="224.0"/>
        <n v="256.0"/>
        <n v="235.0"/>
        <n v="39.0"/>
        <n v="131.0"/>
        <n v="167.0"/>
        <n v="65.0"/>
        <n v="213.0"/>
        <n v="114.0"/>
        <n v="265.0"/>
        <n v="20.0"/>
        <n v="87.0"/>
        <n v="159.0"/>
        <n v="19.0"/>
        <n v="103.0"/>
        <n v="25.0"/>
        <n v="83.0"/>
        <n v="133.0"/>
        <n v="225.0"/>
        <n v="161.0"/>
        <n v="238.0"/>
        <n v="211.0"/>
        <n v="51.0"/>
        <n v="79.0"/>
        <n v="221.0"/>
        <n v="93.0"/>
        <n v="282.0"/>
        <n v="275.0"/>
        <n v="113.0"/>
        <n v="215.0"/>
        <n v="271.0"/>
        <n v="31.0"/>
        <n v="36.0"/>
        <n v="92.0"/>
        <n v="299.0"/>
        <n v="205.0"/>
        <n v="241.0"/>
        <n v="137.0"/>
        <n v="216.0"/>
        <n v="176.0"/>
        <n v="97.0"/>
        <n v="127.0"/>
        <n v="119.0"/>
        <n v="177.0"/>
        <n v="112.0"/>
        <n v="34.0"/>
        <n v="11.0"/>
        <n v="52.0"/>
        <n v="123.0"/>
        <n v="60.0"/>
        <n v="169.0"/>
        <n v="262.0"/>
        <n v="174.0"/>
        <n v="84.0"/>
        <n v="148.0"/>
        <n v="125.0"/>
        <n v="75.0"/>
        <n v="289.0"/>
        <n v="184.0"/>
        <n v="100.0"/>
        <n v="73.0"/>
        <n v="149.0"/>
        <n v="43.0"/>
        <n v="227.0"/>
        <n v="88.0"/>
        <n v="255.0"/>
        <n v="99.0"/>
        <n v="63.0"/>
        <n v="21.0"/>
        <n v="266.0"/>
        <n v="28.0"/>
        <n v="283.0"/>
        <n v="200.0"/>
        <n v="230.0"/>
        <n v="242.0"/>
        <n v="197.0"/>
        <n v="180.0"/>
        <n v="297.0"/>
        <n v="236.0"/>
        <n v="150.0"/>
        <n v="46.0"/>
        <n v="163.0"/>
        <n v="17.0"/>
        <n v="173.0"/>
        <n v="12.0"/>
        <n v="223.0"/>
        <n v="212.0"/>
        <n v="199.0"/>
        <n v="32.0"/>
        <n v="298.0"/>
        <n v="182.0"/>
        <n v="209.0"/>
        <n v="270.0"/>
        <n v="40.0"/>
        <n v="10.0"/>
        <n v="44.0"/>
        <n v="219.0"/>
        <n v="57.0"/>
        <n v="91.0"/>
        <n v="185.0"/>
        <n v="264.0"/>
        <n v="157.0"/>
        <n v="233.0"/>
        <n v="142.0"/>
        <n v="158.0"/>
        <n v="102.0"/>
        <n v="170.0"/>
        <n v="22.0"/>
        <n v="186.0"/>
        <n v="272.0"/>
        <n v="130.0"/>
        <n v="277.0"/>
        <n v="234.0"/>
        <n v="147.0"/>
        <n v="240.0"/>
        <n v="66.0"/>
        <n v="143.0"/>
        <n v="76.0"/>
        <n v="290.0"/>
        <n v="122.0"/>
        <n v="47.0"/>
        <n v="64.0"/>
        <n v="187.0"/>
        <n v="245.0"/>
        <n v="120.0"/>
        <n v="132.0"/>
        <n v="104.0"/>
        <n v="53.0"/>
        <n v="38.0"/>
        <n v="246.0"/>
        <n v="229.0"/>
        <n v="154.0"/>
        <n v="292.0"/>
        <n v="239.0"/>
        <n v="208.0"/>
        <n v="251.0"/>
        <n v="71.0"/>
        <n v="300.0"/>
        <n v="192.0"/>
        <n v="145.0"/>
        <n v="195.0"/>
        <n v="85.0"/>
        <n v="49.0"/>
        <n v="288.0"/>
        <n v="286.0"/>
        <n v="198.0"/>
        <n v="171.0"/>
        <n v="129.0"/>
        <n v="135.0"/>
        <n v="287.0"/>
        <n v="248.0"/>
        <n v="89.0"/>
        <n v="56.0"/>
        <n v="23.0"/>
        <n v="252.0"/>
        <n v="164.0"/>
        <n v="118.0"/>
        <n v="121.0"/>
        <n v="217.0"/>
        <n v="201.0"/>
        <n v="249.0"/>
        <n v="42.0"/>
        <n v="194.0"/>
        <n v="210.0"/>
        <n v="160.0"/>
        <n v="254.0"/>
        <n v="189.0"/>
        <n v="226.0"/>
        <n v="172.0"/>
        <n v="237.0"/>
        <n v="293.0"/>
        <n v="41.0"/>
        <n v="62.0"/>
        <n v="269.0"/>
        <n v="45.0"/>
        <n v="296.0"/>
        <n v="58.0"/>
        <n v="279.0"/>
        <n v="30.0"/>
        <n v="231.0"/>
        <n v="228.0"/>
        <n v="82.0"/>
        <n v="191.0"/>
        <n v="35.0"/>
        <n v="24.0"/>
        <n v="14.0"/>
        <n v="70.0"/>
      </sharedItems>
    </cacheField>
    <cacheField name="Hashtags Used" numFmtId="0">
      <sharedItems>
        <s v="#MyntraSale"/>
        <s v="#MyntraFashion"/>
        <s v="#MyntraFashion,#MyntraSale"/>
        <s v="#StyleWithMyntra,#MyntraFashion"/>
        <s v="#MyntraTrend"/>
        <s v="#StyleWithMyntra"/>
        <s v="#StyleWithMyntra,#MyntraSale"/>
        <s v="#MyntraSale,#MyntraFashion"/>
        <s v="#MyntraFashion,#FashionDeals"/>
        <s v="#MyntraSale,#FashionDeals"/>
        <s v="#FashionDeals"/>
        <s v="#MyntraSale,#StyleWithMyntra"/>
        <s v="#StyleWithMyntra,#MyntraTrend"/>
        <s v="#MyntraSale,#MyntraTrend"/>
        <s v="#MyntraTrend,#MyntraFashion"/>
        <s v="#MyntraTrend,#FashionDeals"/>
        <s v="#FashionDeals,#MyntraSale"/>
        <s v="#FashionDeals,#MyntraFashion"/>
        <s v="#MyntraFashion,#StyleWithMyntra"/>
        <s v="#StyleWithMyntra,#FashionDeals"/>
        <s v="#FashionDeals,#MyntraTrend"/>
        <s v="#MyntraTrend,#MyntraSale"/>
        <s v="#MyntraTrend,#StyleWithMyntra"/>
        <s v="#FashionDeals,#StyleWithMyntra"/>
        <s v="#MyntraFashion,#MyntraTrend"/>
      </sharedItems>
    </cacheField>
    <cacheField name="Campaign_Name" numFmtId="0">
      <sharedItems>
        <s v="FashionUpgrade"/>
        <s v="EndOfSeasonSale"/>
        <s v="MyntraFestiveEdit"/>
        <s v="StyleRevolutio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6" firstHeaderRow="0" firstDataRow="2" firstDataCol="0"/>
  <pivotFields>
    <pivotField name="Pos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onten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 Tex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ik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R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Hashtags U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mpaign_Name" axis="axisRow" compact="0" outline="0" multipleItemSelectionAllowed="1" showAll="0" sortType="ascending">
      <items>
        <item x="1"/>
        <item x="0"/>
        <item x="2"/>
        <item x="3"/>
        <item t="default"/>
      </items>
    </pivotField>
  </pivotFields>
  <rowFields>
    <field x="12"/>
  </rowFields>
  <colFields>
    <field x="-2"/>
  </colFields>
  <dataFields>
    <dataField name="SUM of Impressions" fld="8" baseField="0"/>
    <dataField name="SUM of Likes" fld="5" baseField="0"/>
    <dataField name="SUM of Clicks" fld="10" baseField="0"/>
    <dataField name="COUNTA of Post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7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 ht="14.25" customHeight="1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16</v>
      </c>
      <c r="E4" s="2" t="s">
        <v>17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29</v>
      </c>
      <c r="M4" s="2" t="s">
        <v>19</v>
      </c>
    </row>
    <row r="5" ht="14.25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18</v>
      </c>
      <c r="M5" s="2" t="s">
        <v>19</v>
      </c>
    </row>
    <row r="6" ht="14.25" customHeight="1">
      <c r="A6" s="2" t="s">
        <v>35</v>
      </c>
      <c r="B6" s="2" t="s">
        <v>27</v>
      </c>
      <c r="C6" s="2" t="s">
        <v>36</v>
      </c>
      <c r="D6" s="2" t="s">
        <v>16</v>
      </c>
      <c r="E6" s="2" t="s">
        <v>17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37</v>
      </c>
      <c r="M6" s="2" t="s">
        <v>38</v>
      </c>
    </row>
    <row r="7" ht="14.25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44</v>
      </c>
      <c r="M7" s="2" t="s">
        <v>25</v>
      </c>
    </row>
    <row r="8" ht="14.25" customHeight="1">
      <c r="A8" s="2" t="s">
        <v>45</v>
      </c>
      <c r="B8" s="2" t="s">
        <v>14</v>
      </c>
      <c r="C8" s="2" t="s">
        <v>46</v>
      </c>
      <c r="D8" s="2" t="s">
        <v>42</v>
      </c>
      <c r="E8" s="2" t="s">
        <v>43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44</v>
      </c>
      <c r="M8" s="2" t="s">
        <v>38</v>
      </c>
    </row>
    <row r="9" ht="14.25" customHeight="1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29</v>
      </c>
      <c r="M9" s="2" t="s">
        <v>38</v>
      </c>
    </row>
    <row r="10" ht="14.25" customHeight="1">
      <c r="A10" s="2" t="s">
        <v>51</v>
      </c>
      <c r="B10" s="2" t="s">
        <v>40</v>
      </c>
      <c r="C10" s="2" t="s">
        <v>52</v>
      </c>
      <c r="D10" s="2" t="s">
        <v>22</v>
      </c>
      <c r="E10" s="2" t="s">
        <v>23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29</v>
      </c>
      <c r="M10" s="2" t="s">
        <v>38</v>
      </c>
    </row>
    <row r="11" ht="14.25" customHeight="1">
      <c r="A11" s="2" t="s">
        <v>53</v>
      </c>
      <c r="B11" s="2" t="s">
        <v>40</v>
      </c>
      <c r="C11" s="2" t="s">
        <v>54</v>
      </c>
      <c r="D11" s="2" t="s">
        <v>49</v>
      </c>
      <c r="E11" s="2" t="s">
        <v>50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44</v>
      </c>
      <c r="M11" s="2" t="s">
        <v>55</v>
      </c>
    </row>
    <row r="12" ht="14.25" customHeight="1">
      <c r="A12" s="2" t="s">
        <v>56</v>
      </c>
      <c r="B12" s="2" t="s">
        <v>31</v>
      </c>
      <c r="C12" s="2" t="s">
        <v>57</v>
      </c>
      <c r="D12" s="2" t="s">
        <v>33</v>
      </c>
      <c r="E12" s="2" t="s">
        <v>34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58</v>
      </c>
      <c r="M12" s="2" t="s">
        <v>19</v>
      </c>
    </row>
    <row r="13" ht="14.25" customHeight="1">
      <c r="A13" s="2" t="s">
        <v>59</v>
      </c>
      <c r="B13" s="2" t="s">
        <v>40</v>
      </c>
      <c r="C13" s="2" t="s">
        <v>60</v>
      </c>
      <c r="D13" s="2" t="s">
        <v>16</v>
      </c>
      <c r="E13" s="2" t="s">
        <v>17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61</v>
      </c>
      <c r="M13" s="2" t="s">
        <v>38</v>
      </c>
    </row>
    <row r="14" ht="14.25" customHeight="1">
      <c r="A14" s="2" t="s">
        <v>62</v>
      </c>
      <c r="B14" s="2" t="s">
        <v>27</v>
      </c>
      <c r="C14" s="2" t="s">
        <v>63</v>
      </c>
      <c r="D14" s="2" t="s">
        <v>42</v>
      </c>
      <c r="E14" s="2" t="s">
        <v>43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24</v>
      </c>
      <c r="M14" s="2" t="s">
        <v>55</v>
      </c>
    </row>
    <row r="15" ht="14.25" customHeight="1">
      <c r="A15" s="2" t="s">
        <v>64</v>
      </c>
      <c r="B15" s="2" t="s">
        <v>40</v>
      </c>
      <c r="C15" s="2" t="s">
        <v>65</v>
      </c>
      <c r="D15" s="2" t="s">
        <v>33</v>
      </c>
      <c r="E15" s="2" t="s">
        <v>34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66</v>
      </c>
      <c r="M15" s="2" t="s">
        <v>38</v>
      </c>
    </row>
    <row r="16" ht="14.25" customHeight="1">
      <c r="A16" s="2" t="s">
        <v>67</v>
      </c>
      <c r="B16" s="2" t="s">
        <v>40</v>
      </c>
      <c r="C16" s="2" t="s">
        <v>68</v>
      </c>
      <c r="D16" s="2" t="s">
        <v>69</v>
      </c>
      <c r="E16" s="2" t="s">
        <v>70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71</v>
      </c>
      <c r="M16" s="2" t="s">
        <v>19</v>
      </c>
    </row>
    <row r="17" ht="14.25" customHeight="1">
      <c r="A17" s="2" t="s">
        <v>72</v>
      </c>
      <c r="B17" s="2" t="s">
        <v>40</v>
      </c>
      <c r="C17" s="2" t="s">
        <v>73</v>
      </c>
      <c r="D17" s="2" t="s">
        <v>22</v>
      </c>
      <c r="E17" s="2" t="s">
        <v>23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74</v>
      </c>
      <c r="M17" s="2" t="s">
        <v>38</v>
      </c>
    </row>
    <row r="18" ht="14.25" customHeight="1">
      <c r="A18" s="2" t="s">
        <v>75</v>
      </c>
      <c r="B18" s="2" t="s">
        <v>40</v>
      </c>
      <c r="C18" s="2" t="s">
        <v>76</v>
      </c>
      <c r="D18" s="2" t="s">
        <v>22</v>
      </c>
      <c r="E18" s="2" t="s">
        <v>23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77</v>
      </c>
      <c r="M18" s="2" t="s">
        <v>38</v>
      </c>
    </row>
    <row r="19" ht="14.25" customHeight="1">
      <c r="A19" s="2" t="s">
        <v>78</v>
      </c>
      <c r="B19" s="2" t="s">
        <v>31</v>
      </c>
      <c r="C19" s="2" t="s">
        <v>79</v>
      </c>
      <c r="D19" s="2" t="s">
        <v>16</v>
      </c>
      <c r="E19" s="2" t="s">
        <v>17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58</v>
      </c>
      <c r="M19" s="2" t="s">
        <v>25</v>
      </c>
    </row>
    <row r="20" ht="14.25" customHeight="1">
      <c r="A20" s="2" t="s">
        <v>80</v>
      </c>
      <c r="B20" s="2" t="s">
        <v>31</v>
      </c>
      <c r="C20" s="2" t="s">
        <v>81</v>
      </c>
      <c r="D20" s="2" t="s">
        <v>69</v>
      </c>
      <c r="E20" s="2" t="s">
        <v>70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82</v>
      </c>
      <c r="M20" s="2" t="s">
        <v>38</v>
      </c>
    </row>
    <row r="21" ht="14.25" customHeight="1">
      <c r="A21" s="2" t="s">
        <v>83</v>
      </c>
      <c r="B21" s="2" t="s">
        <v>31</v>
      </c>
      <c r="C21" s="2" t="s">
        <v>84</v>
      </c>
      <c r="D21" s="2" t="s">
        <v>42</v>
      </c>
      <c r="E21" s="2" t="s">
        <v>43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29</v>
      </c>
      <c r="M21" s="2" t="s">
        <v>38</v>
      </c>
    </row>
    <row r="22" ht="14.25" customHeight="1">
      <c r="A22" s="2" t="s">
        <v>85</v>
      </c>
      <c r="B22" s="2" t="s">
        <v>31</v>
      </c>
      <c r="C22" s="2" t="s">
        <v>86</v>
      </c>
      <c r="D22" s="2" t="s">
        <v>16</v>
      </c>
      <c r="E22" s="2" t="s">
        <v>17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87</v>
      </c>
      <c r="M22" s="2" t="s">
        <v>38</v>
      </c>
    </row>
    <row r="23" ht="14.25" customHeight="1">
      <c r="A23" s="2" t="s">
        <v>88</v>
      </c>
      <c r="B23" s="2" t="s">
        <v>40</v>
      </c>
      <c r="C23" s="2" t="s">
        <v>89</v>
      </c>
      <c r="D23" s="2" t="s">
        <v>22</v>
      </c>
      <c r="E23" s="2" t="s">
        <v>23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18</v>
      </c>
      <c r="M23" s="2" t="s">
        <v>55</v>
      </c>
    </row>
    <row r="24" ht="14.25" customHeight="1">
      <c r="A24" s="2" t="s">
        <v>90</v>
      </c>
      <c r="B24" s="2" t="s">
        <v>40</v>
      </c>
      <c r="C24" s="2" t="s">
        <v>91</v>
      </c>
      <c r="D24" s="2" t="s">
        <v>69</v>
      </c>
      <c r="E24" s="2" t="s">
        <v>70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18</v>
      </c>
      <c r="M24" s="2" t="s">
        <v>38</v>
      </c>
    </row>
    <row r="25" ht="14.25" customHeight="1">
      <c r="A25" s="2" t="s">
        <v>92</v>
      </c>
      <c r="B25" s="2" t="s">
        <v>40</v>
      </c>
      <c r="C25" s="2" t="s">
        <v>93</v>
      </c>
      <c r="D25" s="2" t="s">
        <v>69</v>
      </c>
      <c r="E25" s="2" t="s">
        <v>70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44</v>
      </c>
      <c r="M25" s="2" t="s">
        <v>25</v>
      </c>
    </row>
    <row r="26" ht="14.25" customHeight="1">
      <c r="A26" s="2" t="s">
        <v>94</v>
      </c>
      <c r="B26" s="2" t="s">
        <v>14</v>
      </c>
      <c r="C26" s="2" t="s">
        <v>95</v>
      </c>
      <c r="D26" s="2" t="s">
        <v>42</v>
      </c>
      <c r="E26" s="2" t="s">
        <v>43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61</v>
      </c>
      <c r="M26" s="2" t="s">
        <v>19</v>
      </c>
    </row>
    <row r="27" ht="14.25" customHeight="1">
      <c r="A27" s="2" t="s">
        <v>96</v>
      </c>
      <c r="B27" s="2" t="s">
        <v>27</v>
      </c>
      <c r="C27" s="2" t="s">
        <v>97</v>
      </c>
      <c r="D27" s="2" t="s">
        <v>16</v>
      </c>
      <c r="E27" s="2" t="s">
        <v>17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18</v>
      </c>
      <c r="M27" s="2" t="s">
        <v>25</v>
      </c>
    </row>
    <row r="28" ht="14.25" customHeight="1">
      <c r="A28" s="2" t="s">
        <v>98</v>
      </c>
      <c r="B28" s="2" t="s">
        <v>27</v>
      </c>
      <c r="C28" s="2" t="s">
        <v>99</v>
      </c>
      <c r="D28" s="2" t="s">
        <v>22</v>
      </c>
      <c r="E28" s="2" t="s">
        <v>23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44</v>
      </c>
      <c r="M28" s="2" t="s">
        <v>55</v>
      </c>
    </row>
    <row r="29" ht="14.25" customHeight="1">
      <c r="A29" s="2" t="s">
        <v>100</v>
      </c>
      <c r="B29" s="2" t="s">
        <v>31</v>
      </c>
      <c r="C29" s="2" t="s">
        <v>101</v>
      </c>
      <c r="D29" s="2" t="s">
        <v>69</v>
      </c>
      <c r="E29" s="2" t="s">
        <v>70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102</v>
      </c>
      <c r="M29" s="2" t="s">
        <v>25</v>
      </c>
    </row>
    <row r="30" ht="14.25" customHeight="1">
      <c r="A30" s="2" t="s">
        <v>103</v>
      </c>
      <c r="B30" s="2" t="s">
        <v>31</v>
      </c>
      <c r="C30" s="2" t="s">
        <v>104</v>
      </c>
      <c r="D30" s="2" t="s">
        <v>42</v>
      </c>
      <c r="E30" s="2" t="s">
        <v>43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105</v>
      </c>
      <c r="M30" s="2" t="s">
        <v>38</v>
      </c>
    </row>
    <row r="31" ht="14.25" customHeight="1">
      <c r="A31" s="2" t="s">
        <v>106</v>
      </c>
      <c r="B31" s="2" t="s">
        <v>31</v>
      </c>
      <c r="C31" s="2" t="s">
        <v>107</v>
      </c>
      <c r="D31" s="2" t="s">
        <v>69</v>
      </c>
      <c r="E31" s="2" t="s">
        <v>70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18</v>
      </c>
      <c r="M31" s="2" t="s">
        <v>55</v>
      </c>
    </row>
    <row r="32" ht="14.25" customHeight="1">
      <c r="A32" s="2" t="s">
        <v>108</v>
      </c>
      <c r="B32" s="2" t="s">
        <v>31</v>
      </c>
      <c r="C32" s="2" t="s">
        <v>109</v>
      </c>
      <c r="D32" s="2" t="s">
        <v>22</v>
      </c>
      <c r="E32" s="2" t="s">
        <v>23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44</v>
      </c>
      <c r="M32" s="2" t="s">
        <v>55</v>
      </c>
    </row>
    <row r="33" ht="14.25" customHeight="1">
      <c r="A33" s="2" t="s">
        <v>110</v>
      </c>
      <c r="B33" s="2" t="s">
        <v>14</v>
      </c>
      <c r="C33" s="2" t="s">
        <v>111</v>
      </c>
      <c r="D33" s="2" t="s">
        <v>42</v>
      </c>
      <c r="E33" s="2" t="s">
        <v>43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105</v>
      </c>
      <c r="M33" s="2" t="s">
        <v>55</v>
      </c>
    </row>
    <row r="34" ht="14.25" customHeight="1">
      <c r="A34" s="2" t="s">
        <v>112</v>
      </c>
      <c r="B34" s="2" t="s">
        <v>40</v>
      </c>
      <c r="C34" s="2" t="s">
        <v>113</v>
      </c>
      <c r="D34" s="2" t="s">
        <v>49</v>
      </c>
      <c r="E34" s="2" t="s">
        <v>50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71</v>
      </c>
      <c r="M34" s="2" t="s">
        <v>38</v>
      </c>
    </row>
    <row r="35" ht="14.25" customHeight="1">
      <c r="A35" s="2" t="s">
        <v>114</v>
      </c>
      <c r="B35" s="2" t="s">
        <v>40</v>
      </c>
      <c r="C35" s="2" t="s">
        <v>115</v>
      </c>
      <c r="D35" s="2" t="s">
        <v>22</v>
      </c>
      <c r="E35" s="2" t="s">
        <v>23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116</v>
      </c>
      <c r="M35" s="2" t="s">
        <v>25</v>
      </c>
    </row>
    <row r="36" ht="14.25" customHeight="1">
      <c r="A36" s="2" t="s">
        <v>117</v>
      </c>
      <c r="B36" s="2" t="s">
        <v>31</v>
      </c>
      <c r="C36" s="2" t="s">
        <v>118</v>
      </c>
      <c r="D36" s="2" t="s">
        <v>69</v>
      </c>
      <c r="E36" s="2" t="s">
        <v>70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61</v>
      </c>
      <c r="M36" s="2" t="s">
        <v>38</v>
      </c>
    </row>
    <row r="37" ht="14.25" customHeight="1">
      <c r="A37" s="2" t="s">
        <v>119</v>
      </c>
      <c r="B37" s="2" t="s">
        <v>31</v>
      </c>
      <c r="C37" s="2" t="s">
        <v>120</v>
      </c>
      <c r="D37" s="2" t="s">
        <v>33</v>
      </c>
      <c r="E37" s="2" t="s">
        <v>34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77</v>
      </c>
      <c r="M37" s="2" t="s">
        <v>25</v>
      </c>
    </row>
    <row r="38" ht="14.25" customHeight="1">
      <c r="A38" s="2" t="s">
        <v>121</v>
      </c>
      <c r="B38" s="2" t="s">
        <v>40</v>
      </c>
      <c r="C38" s="2" t="s">
        <v>122</v>
      </c>
      <c r="D38" s="2" t="s">
        <v>42</v>
      </c>
      <c r="E38" s="2" t="s">
        <v>43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18</v>
      </c>
      <c r="M38" s="2" t="s">
        <v>38</v>
      </c>
    </row>
    <row r="39" ht="14.25" customHeight="1">
      <c r="A39" s="2" t="s">
        <v>123</v>
      </c>
      <c r="B39" s="2" t="s">
        <v>27</v>
      </c>
      <c r="C39" s="2" t="s">
        <v>124</v>
      </c>
      <c r="D39" s="2" t="s">
        <v>16</v>
      </c>
      <c r="E39" s="2" t="s">
        <v>17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77</v>
      </c>
      <c r="M39" s="2" t="s">
        <v>55</v>
      </c>
    </row>
    <row r="40" ht="14.25" customHeight="1">
      <c r="A40" s="2" t="s">
        <v>125</v>
      </c>
      <c r="B40" s="2" t="s">
        <v>40</v>
      </c>
      <c r="C40" s="2" t="s">
        <v>126</v>
      </c>
      <c r="D40" s="2" t="s">
        <v>49</v>
      </c>
      <c r="E40" s="2" t="s">
        <v>50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127</v>
      </c>
      <c r="M40" s="2" t="s">
        <v>38</v>
      </c>
    </row>
    <row r="41" ht="14.25" customHeight="1">
      <c r="A41" s="2" t="s">
        <v>128</v>
      </c>
      <c r="B41" s="2" t="s">
        <v>14</v>
      </c>
      <c r="C41" s="2" t="s">
        <v>129</v>
      </c>
      <c r="D41" s="2" t="s">
        <v>49</v>
      </c>
      <c r="E41" s="2" t="s">
        <v>50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61</v>
      </c>
      <c r="M41" s="2" t="s">
        <v>25</v>
      </c>
    </row>
    <row r="42" ht="14.25" customHeight="1">
      <c r="A42" s="2" t="s">
        <v>130</v>
      </c>
      <c r="B42" s="2" t="s">
        <v>31</v>
      </c>
      <c r="C42" s="2" t="s">
        <v>131</v>
      </c>
      <c r="D42" s="2" t="s">
        <v>16</v>
      </c>
      <c r="E42" s="2" t="s">
        <v>17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74</v>
      </c>
      <c r="M42" s="2" t="s">
        <v>38</v>
      </c>
    </row>
    <row r="43" ht="14.25" customHeight="1">
      <c r="A43" s="2" t="s">
        <v>132</v>
      </c>
      <c r="B43" s="2" t="s">
        <v>27</v>
      </c>
      <c r="C43" s="2" t="s">
        <v>133</v>
      </c>
      <c r="D43" s="2" t="s">
        <v>16</v>
      </c>
      <c r="E43" s="2" t="s">
        <v>17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58</v>
      </c>
      <c r="M43" s="2" t="s">
        <v>38</v>
      </c>
    </row>
    <row r="44" ht="14.25" customHeight="1">
      <c r="A44" s="2" t="s">
        <v>134</v>
      </c>
      <c r="B44" s="2" t="s">
        <v>31</v>
      </c>
      <c r="C44" s="2" t="s">
        <v>135</v>
      </c>
      <c r="D44" s="2" t="s">
        <v>42</v>
      </c>
      <c r="E44" s="2" t="s">
        <v>43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66</v>
      </c>
      <c r="M44" s="2" t="s">
        <v>55</v>
      </c>
    </row>
    <row r="45" ht="14.25" customHeight="1">
      <c r="A45" s="2" t="s">
        <v>136</v>
      </c>
      <c r="B45" s="2" t="s">
        <v>14</v>
      </c>
      <c r="C45" s="2" t="s">
        <v>137</v>
      </c>
      <c r="D45" s="2" t="s">
        <v>49</v>
      </c>
      <c r="E45" s="2" t="s">
        <v>50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82</v>
      </c>
      <c r="M45" s="2" t="s">
        <v>19</v>
      </c>
    </row>
    <row r="46" ht="14.25" customHeight="1">
      <c r="A46" s="2" t="s">
        <v>138</v>
      </c>
      <c r="B46" s="2" t="s">
        <v>40</v>
      </c>
      <c r="C46" s="2" t="s">
        <v>139</v>
      </c>
      <c r="D46" s="2" t="s">
        <v>69</v>
      </c>
      <c r="E46" s="2" t="s">
        <v>70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77</v>
      </c>
      <c r="M46" s="2" t="s">
        <v>55</v>
      </c>
    </row>
    <row r="47" ht="14.25" customHeight="1">
      <c r="A47" s="2" t="s">
        <v>140</v>
      </c>
      <c r="B47" s="2" t="s">
        <v>14</v>
      </c>
      <c r="C47" s="2" t="s">
        <v>141</v>
      </c>
      <c r="D47" s="2" t="s">
        <v>69</v>
      </c>
      <c r="E47" s="2" t="s">
        <v>70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24</v>
      </c>
      <c r="M47" s="2" t="s">
        <v>55</v>
      </c>
    </row>
    <row r="48" ht="14.25" customHeight="1">
      <c r="A48" s="2" t="s">
        <v>142</v>
      </c>
      <c r="B48" s="2" t="s">
        <v>14</v>
      </c>
      <c r="C48" s="2" t="s">
        <v>143</v>
      </c>
      <c r="D48" s="2" t="s">
        <v>42</v>
      </c>
      <c r="E48" s="2" t="s">
        <v>43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144</v>
      </c>
      <c r="M48" s="2" t="s">
        <v>19</v>
      </c>
    </row>
    <row r="49" ht="14.25" customHeight="1">
      <c r="A49" s="2" t="s">
        <v>145</v>
      </c>
      <c r="B49" s="2" t="s">
        <v>14</v>
      </c>
      <c r="C49" s="2" t="s">
        <v>54</v>
      </c>
      <c r="D49" s="2" t="s">
        <v>33</v>
      </c>
      <c r="E49" s="2" t="s">
        <v>34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146</v>
      </c>
      <c r="M49" s="2" t="s">
        <v>55</v>
      </c>
    </row>
    <row r="50" ht="14.25" customHeight="1">
      <c r="A50" s="2" t="s">
        <v>147</v>
      </c>
      <c r="B50" s="2" t="s">
        <v>14</v>
      </c>
      <c r="C50" s="2" t="s">
        <v>148</v>
      </c>
      <c r="D50" s="2" t="s">
        <v>33</v>
      </c>
      <c r="E50" s="2" t="s">
        <v>34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58</v>
      </c>
      <c r="M50" s="2" t="s">
        <v>19</v>
      </c>
    </row>
    <row r="51" ht="14.25" customHeight="1">
      <c r="A51" s="2" t="s">
        <v>149</v>
      </c>
      <c r="B51" s="2" t="s">
        <v>27</v>
      </c>
      <c r="C51" s="2" t="s">
        <v>150</v>
      </c>
      <c r="D51" s="2" t="s">
        <v>33</v>
      </c>
      <c r="E51" s="2" t="s">
        <v>34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24</v>
      </c>
      <c r="M51" s="2" t="s">
        <v>19</v>
      </c>
    </row>
    <row r="52" ht="14.25" customHeight="1">
      <c r="A52" s="2" t="s">
        <v>151</v>
      </c>
      <c r="B52" s="2" t="s">
        <v>40</v>
      </c>
      <c r="C52" s="2" t="s">
        <v>152</v>
      </c>
      <c r="D52" s="2" t="s">
        <v>42</v>
      </c>
      <c r="E52" s="2" t="s">
        <v>43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18</v>
      </c>
      <c r="M52" s="2" t="s">
        <v>38</v>
      </c>
    </row>
    <row r="53" ht="14.25" customHeight="1">
      <c r="A53" s="2" t="s">
        <v>153</v>
      </c>
      <c r="B53" s="2" t="s">
        <v>40</v>
      </c>
      <c r="C53" s="2" t="s">
        <v>154</v>
      </c>
      <c r="D53" s="2" t="s">
        <v>49</v>
      </c>
      <c r="E53" s="2" t="s">
        <v>50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29</v>
      </c>
      <c r="M53" s="2" t="s">
        <v>38</v>
      </c>
    </row>
    <row r="54" ht="14.25" customHeight="1">
      <c r="A54" s="2" t="s">
        <v>155</v>
      </c>
      <c r="B54" s="2" t="s">
        <v>27</v>
      </c>
      <c r="C54" s="2" t="s">
        <v>143</v>
      </c>
      <c r="D54" s="2" t="s">
        <v>42</v>
      </c>
      <c r="E54" s="2" t="s">
        <v>43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87</v>
      </c>
      <c r="M54" s="2" t="s">
        <v>55</v>
      </c>
    </row>
    <row r="55" ht="14.25" customHeight="1">
      <c r="A55" s="2" t="s">
        <v>156</v>
      </c>
      <c r="B55" s="2" t="s">
        <v>27</v>
      </c>
      <c r="C55" s="2" t="s">
        <v>157</v>
      </c>
      <c r="D55" s="2" t="s">
        <v>42</v>
      </c>
      <c r="E55" s="2" t="s">
        <v>43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71</v>
      </c>
      <c r="M55" s="2" t="s">
        <v>25</v>
      </c>
    </row>
    <row r="56" ht="14.25" customHeight="1">
      <c r="A56" s="2" t="s">
        <v>158</v>
      </c>
      <c r="B56" s="2" t="s">
        <v>40</v>
      </c>
      <c r="C56" s="2" t="s">
        <v>159</v>
      </c>
      <c r="D56" s="2" t="s">
        <v>49</v>
      </c>
      <c r="E56" s="2" t="s">
        <v>50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102</v>
      </c>
      <c r="M56" s="2" t="s">
        <v>55</v>
      </c>
    </row>
    <row r="57" ht="14.25" customHeight="1">
      <c r="A57" s="2" t="s">
        <v>160</v>
      </c>
      <c r="B57" s="2" t="s">
        <v>40</v>
      </c>
      <c r="C57" s="2" t="s">
        <v>161</v>
      </c>
      <c r="D57" s="2" t="s">
        <v>42</v>
      </c>
      <c r="E57" s="2" t="s">
        <v>43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162</v>
      </c>
      <c r="M57" s="2" t="s">
        <v>25</v>
      </c>
    </row>
    <row r="58" ht="14.25" customHeight="1">
      <c r="A58" s="2" t="s">
        <v>163</v>
      </c>
      <c r="B58" s="2" t="s">
        <v>14</v>
      </c>
      <c r="C58" s="2" t="s">
        <v>164</v>
      </c>
      <c r="D58" s="2" t="s">
        <v>69</v>
      </c>
      <c r="E58" s="2" t="s">
        <v>70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58</v>
      </c>
      <c r="M58" s="2" t="s">
        <v>25</v>
      </c>
    </row>
    <row r="59" ht="14.25" customHeight="1">
      <c r="A59" s="2" t="s">
        <v>165</v>
      </c>
      <c r="B59" s="2" t="s">
        <v>31</v>
      </c>
      <c r="C59" s="2" t="s">
        <v>166</v>
      </c>
      <c r="D59" s="2" t="s">
        <v>16</v>
      </c>
      <c r="E59" s="2" t="s">
        <v>17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18</v>
      </c>
      <c r="M59" s="2" t="s">
        <v>38</v>
      </c>
    </row>
    <row r="60" ht="14.25" customHeight="1">
      <c r="A60" s="2" t="s">
        <v>167</v>
      </c>
      <c r="B60" s="2" t="s">
        <v>31</v>
      </c>
      <c r="C60" s="2" t="s">
        <v>168</v>
      </c>
      <c r="D60" s="2" t="s">
        <v>22</v>
      </c>
      <c r="E60" s="2" t="s">
        <v>23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77</v>
      </c>
      <c r="M60" s="2" t="s">
        <v>19</v>
      </c>
    </row>
    <row r="61" ht="14.25" customHeight="1">
      <c r="A61" s="2" t="s">
        <v>169</v>
      </c>
      <c r="B61" s="2" t="s">
        <v>31</v>
      </c>
      <c r="C61" s="2" t="s">
        <v>170</v>
      </c>
      <c r="D61" s="2" t="s">
        <v>69</v>
      </c>
      <c r="E61" s="2" t="s">
        <v>70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58</v>
      </c>
      <c r="M61" s="2" t="s">
        <v>19</v>
      </c>
    </row>
    <row r="62" ht="14.25" customHeight="1">
      <c r="A62" s="2" t="s">
        <v>171</v>
      </c>
      <c r="B62" s="2" t="s">
        <v>14</v>
      </c>
      <c r="C62" s="2" t="s">
        <v>172</v>
      </c>
      <c r="D62" s="2" t="s">
        <v>69</v>
      </c>
      <c r="E62" s="2" t="s">
        <v>70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24</v>
      </c>
      <c r="M62" s="2" t="s">
        <v>19</v>
      </c>
    </row>
    <row r="63" ht="14.25" customHeight="1">
      <c r="A63" s="2" t="s">
        <v>173</v>
      </c>
      <c r="B63" s="2" t="s">
        <v>14</v>
      </c>
      <c r="C63" s="2" t="s">
        <v>174</v>
      </c>
      <c r="D63" s="2" t="s">
        <v>42</v>
      </c>
      <c r="E63" s="2" t="s">
        <v>43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77</v>
      </c>
      <c r="M63" s="2" t="s">
        <v>38</v>
      </c>
    </row>
    <row r="64" ht="14.25" customHeight="1">
      <c r="A64" s="2" t="s">
        <v>175</v>
      </c>
      <c r="B64" s="2" t="s">
        <v>14</v>
      </c>
      <c r="C64" s="2" t="s">
        <v>111</v>
      </c>
      <c r="D64" s="2" t="s">
        <v>42</v>
      </c>
      <c r="E64" s="2" t="s">
        <v>43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18</v>
      </c>
      <c r="M64" s="2" t="s">
        <v>19</v>
      </c>
    </row>
    <row r="65" ht="14.25" customHeight="1">
      <c r="A65" s="2" t="s">
        <v>176</v>
      </c>
      <c r="B65" s="2" t="s">
        <v>40</v>
      </c>
      <c r="C65" s="2" t="s">
        <v>177</v>
      </c>
      <c r="D65" s="2" t="s">
        <v>49</v>
      </c>
      <c r="E65" s="2" t="s">
        <v>50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178</v>
      </c>
      <c r="M65" s="2" t="s">
        <v>25</v>
      </c>
    </row>
    <row r="66" ht="14.25" customHeight="1">
      <c r="A66" s="2" t="s">
        <v>179</v>
      </c>
      <c r="B66" s="2" t="s">
        <v>31</v>
      </c>
      <c r="C66" s="2" t="s">
        <v>180</v>
      </c>
      <c r="D66" s="2" t="s">
        <v>33</v>
      </c>
      <c r="E66" s="2" t="s">
        <v>34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77</v>
      </c>
      <c r="M66" s="2" t="s">
        <v>25</v>
      </c>
    </row>
    <row r="67" ht="14.25" customHeight="1">
      <c r="A67" s="2" t="s">
        <v>181</v>
      </c>
      <c r="B67" s="2" t="s">
        <v>14</v>
      </c>
      <c r="C67" s="2" t="s">
        <v>182</v>
      </c>
      <c r="D67" s="2" t="s">
        <v>42</v>
      </c>
      <c r="E67" s="2" t="s">
        <v>43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24</v>
      </c>
      <c r="M67" s="2" t="s">
        <v>38</v>
      </c>
    </row>
    <row r="68" ht="14.25" customHeight="1">
      <c r="A68" s="2" t="s">
        <v>183</v>
      </c>
      <c r="B68" s="2" t="s">
        <v>40</v>
      </c>
      <c r="C68" s="2" t="s">
        <v>184</v>
      </c>
      <c r="D68" s="2" t="s">
        <v>42</v>
      </c>
      <c r="E68" s="2" t="s">
        <v>43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77</v>
      </c>
      <c r="M68" s="2" t="s">
        <v>19</v>
      </c>
    </row>
    <row r="69" ht="14.25" customHeight="1">
      <c r="A69" s="2" t="s">
        <v>185</v>
      </c>
      <c r="B69" s="2" t="s">
        <v>31</v>
      </c>
      <c r="C69" s="2" t="s">
        <v>186</v>
      </c>
      <c r="D69" s="2" t="s">
        <v>33</v>
      </c>
      <c r="E69" s="2" t="s">
        <v>34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24</v>
      </c>
      <c r="M69" s="2" t="s">
        <v>19</v>
      </c>
    </row>
    <row r="70" ht="14.25" customHeight="1">
      <c r="A70" s="2" t="s">
        <v>187</v>
      </c>
      <c r="B70" s="2" t="s">
        <v>14</v>
      </c>
      <c r="C70" s="2" t="s">
        <v>131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87</v>
      </c>
      <c r="M70" s="2" t="s">
        <v>55</v>
      </c>
    </row>
    <row r="71" ht="14.25" customHeight="1">
      <c r="A71" s="2" t="s">
        <v>188</v>
      </c>
      <c r="B71" s="2" t="s">
        <v>40</v>
      </c>
      <c r="C71" s="2" t="s">
        <v>189</v>
      </c>
      <c r="D71" s="2" t="s">
        <v>69</v>
      </c>
      <c r="E71" s="2" t="s">
        <v>70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44</v>
      </c>
      <c r="M71" s="2" t="s">
        <v>19</v>
      </c>
    </row>
    <row r="72" ht="14.25" customHeight="1">
      <c r="A72" s="2" t="s">
        <v>190</v>
      </c>
      <c r="B72" s="2" t="s">
        <v>27</v>
      </c>
      <c r="C72" s="2" t="s">
        <v>191</v>
      </c>
      <c r="D72" s="2" t="s">
        <v>42</v>
      </c>
      <c r="E72" s="2" t="s">
        <v>43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74</v>
      </c>
      <c r="M72" s="2" t="s">
        <v>25</v>
      </c>
    </row>
    <row r="73" ht="14.25" customHeight="1">
      <c r="A73" s="2" t="s">
        <v>192</v>
      </c>
      <c r="B73" s="2" t="s">
        <v>27</v>
      </c>
      <c r="C73" s="2" t="s">
        <v>193</v>
      </c>
      <c r="D73" s="2" t="s">
        <v>16</v>
      </c>
      <c r="E73" s="2" t="s">
        <v>17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44</v>
      </c>
      <c r="M73" s="2" t="s">
        <v>55</v>
      </c>
    </row>
    <row r="74" ht="14.25" customHeight="1">
      <c r="A74" s="2" t="s">
        <v>194</v>
      </c>
      <c r="B74" s="2" t="s">
        <v>40</v>
      </c>
      <c r="C74" s="2" t="s">
        <v>195</v>
      </c>
      <c r="D74" s="2" t="s">
        <v>33</v>
      </c>
      <c r="E74" s="2" t="s">
        <v>34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24</v>
      </c>
      <c r="M74" s="2" t="s">
        <v>19</v>
      </c>
    </row>
    <row r="75" ht="14.25" customHeight="1">
      <c r="A75" s="2" t="s">
        <v>196</v>
      </c>
      <c r="B75" s="2" t="s">
        <v>27</v>
      </c>
      <c r="C75" s="2" t="s">
        <v>197</v>
      </c>
      <c r="D75" s="2" t="s">
        <v>16</v>
      </c>
      <c r="E75" s="2" t="s">
        <v>17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24</v>
      </c>
      <c r="M75" s="2" t="s">
        <v>38</v>
      </c>
    </row>
    <row r="76" ht="14.25" customHeight="1">
      <c r="A76" s="2" t="s">
        <v>198</v>
      </c>
      <c r="B76" s="2" t="s">
        <v>31</v>
      </c>
      <c r="C76" s="2" t="s">
        <v>199</v>
      </c>
      <c r="D76" s="2" t="s">
        <v>16</v>
      </c>
      <c r="E76" s="2" t="s">
        <v>17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162</v>
      </c>
      <c r="M76" s="2" t="s">
        <v>38</v>
      </c>
    </row>
    <row r="77" ht="14.25" customHeight="1">
      <c r="A77" s="2" t="s">
        <v>200</v>
      </c>
      <c r="B77" s="2" t="s">
        <v>14</v>
      </c>
      <c r="C77" s="2" t="s">
        <v>201</v>
      </c>
      <c r="D77" s="2" t="s">
        <v>33</v>
      </c>
      <c r="E77" s="2" t="s">
        <v>34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66</v>
      </c>
      <c r="M77" s="2" t="s">
        <v>55</v>
      </c>
    </row>
    <row r="78" ht="14.25" customHeight="1">
      <c r="A78" s="2" t="s">
        <v>202</v>
      </c>
      <c r="B78" s="2" t="s">
        <v>40</v>
      </c>
      <c r="C78" s="2" t="s">
        <v>101</v>
      </c>
      <c r="D78" s="2" t="s">
        <v>33</v>
      </c>
      <c r="E78" s="2" t="s">
        <v>34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71</v>
      </c>
      <c r="M78" s="2" t="s">
        <v>38</v>
      </c>
    </row>
    <row r="79" ht="14.25" customHeight="1">
      <c r="A79" s="2" t="s">
        <v>203</v>
      </c>
      <c r="B79" s="2" t="s">
        <v>14</v>
      </c>
      <c r="C79" s="2" t="s">
        <v>159</v>
      </c>
      <c r="D79" s="2" t="s">
        <v>49</v>
      </c>
      <c r="E79" s="2" t="s">
        <v>50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44</v>
      </c>
      <c r="M79" s="2" t="s">
        <v>38</v>
      </c>
    </row>
    <row r="80" ht="14.25" customHeight="1">
      <c r="A80" s="2" t="s">
        <v>204</v>
      </c>
      <c r="B80" s="2" t="s">
        <v>31</v>
      </c>
      <c r="C80" s="2" t="s">
        <v>205</v>
      </c>
      <c r="D80" s="2" t="s">
        <v>42</v>
      </c>
      <c r="E80" s="2" t="s">
        <v>43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102</v>
      </c>
      <c r="M80" s="2" t="s">
        <v>38</v>
      </c>
    </row>
    <row r="81" ht="14.25" customHeight="1">
      <c r="A81" s="2" t="s">
        <v>206</v>
      </c>
      <c r="B81" s="2" t="s">
        <v>31</v>
      </c>
      <c r="C81" s="2" t="s">
        <v>152</v>
      </c>
      <c r="D81" s="2" t="s">
        <v>33</v>
      </c>
      <c r="E81" s="2" t="s">
        <v>34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144</v>
      </c>
      <c r="M81" s="2" t="s">
        <v>25</v>
      </c>
    </row>
    <row r="82" ht="14.25" customHeight="1">
      <c r="A82" s="2" t="s">
        <v>207</v>
      </c>
      <c r="B82" s="2" t="s">
        <v>31</v>
      </c>
      <c r="C82" s="2" t="s">
        <v>208</v>
      </c>
      <c r="D82" s="2" t="s">
        <v>33</v>
      </c>
      <c r="E82" s="2" t="s">
        <v>34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209</v>
      </c>
      <c r="M82" s="2" t="s">
        <v>38</v>
      </c>
    </row>
    <row r="83" ht="14.25" customHeight="1">
      <c r="A83" s="2" t="s">
        <v>210</v>
      </c>
      <c r="B83" s="2" t="s">
        <v>31</v>
      </c>
      <c r="C83" s="2" t="s">
        <v>211</v>
      </c>
      <c r="D83" s="2" t="s">
        <v>49</v>
      </c>
      <c r="E83" s="2" t="s">
        <v>50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44</v>
      </c>
      <c r="M83" s="2" t="s">
        <v>38</v>
      </c>
    </row>
    <row r="84" ht="14.25" customHeight="1">
      <c r="A84" s="2" t="s">
        <v>212</v>
      </c>
      <c r="B84" s="2" t="s">
        <v>27</v>
      </c>
      <c r="C84" s="2" t="s">
        <v>213</v>
      </c>
      <c r="D84" s="2" t="s">
        <v>69</v>
      </c>
      <c r="E84" s="2" t="s">
        <v>70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214</v>
      </c>
      <c r="M84" s="2" t="s">
        <v>38</v>
      </c>
    </row>
    <row r="85" ht="14.25" customHeight="1">
      <c r="A85" s="2" t="s">
        <v>215</v>
      </c>
      <c r="B85" s="2" t="s">
        <v>40</v>
      </c>
      <c r="C85" s="2" t="s">
        <v>216</v>
      </c>
      <c r="D85" s="2" t="s">
        <v>49</v>
      </c>
      <c r="E85" s="2" t="s">
        <v>50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71</v>
      </c>
      <c r="M85" s="2" t="s">
        <v>19</v>
      </c>
    </row>
    <row r="86" ht="14.25" customHeight="1">
      <c r="A86" s="2" t="s">
        <v>217</v>
      </c>
      <c r="B86" s="2" t="s">
        <v>31</v>
      </c>
      <c r="C86" s="2" t="s">
        <v>120</v>
      </c>
      <c r="D86" s="2" t="s">
        <v>49</v>
      </c>
      <c r="E86" s="2" t="s">
        <v>50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24</v>
      </c>
      <c r="M86" s="2" t="s">
        <v>19</v>
      </c>
    </row>
    <row r="87" ht="14.25" customHeight="1">
      <c r="A87" s="2" t="s">
        <v>218</v>
      </c>
      <c r="B87" s="2" t="s">
        <v>27</v>
      </c>
      <c r="C87" s="2" t="s">
        <v>219</v>
      </c>
      <c r="D87" s="2" t="s">
        <v>22</v>
      </c>
      <c r="E87" s="2" t="s">
        <v>23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214</v>
      </c>
      <c r="M87" s="2" t="s">
        <v>38</v>
      </c>
    </row>
    <row r="88" ht="14.25" customHeight="1">
      <c r="A88" s="2" t="s">
        <v>220</v>
      </c>
      <c r="B88" s="2" t="s">
        <v>14</v>
      </c>
      <c r="C88" s="2" t="s">
        <v>221</v>
      </c>
      <c r="D88" s="2" t="s">
        <v>69</v>
      </c>
      <c r="E88" s="2" t="s">
        <v>70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209</v>
      </c>
      <c r="M88" s="2" t="s">
        <v>25</v>
      </c>
    </row>
    <row r="89" ht="14.25" customHeight="1">
      <c r="A89" s="2" t="s">
        <v>222</v>
      </c>
      <c r="B89" s="2" t="s">
        <v>40</v>
      </c>
      <c r="C89" s="2" t="s">
        <v>223</v>
      </c>
      <c r="D89" s="2" t="s">
        <v>33</v>
      </c>
      <c r="E89" s="2" t="s">
        <v>34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29</v>
      </c>
      <c r="M89" s="2" t="s">
        <v>25</v>
      </c>
    </row>
    <row r="90" ht="14.25" customHeight="1">
      <c r="A90" s="2" t="s">
        <v>224</v>
      </c>
      <c r="B90" s="2" t="s">
        <v>14</v>
      </c>
      <c r="C90" s="2" t="s">
        <v>225</v>
      </c>
      <c r="D90" s="2" t="s">
        <v>49</v>
      </c>
      <c r="E90" s="2" t="s">
        <v>50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18</v>
      </c>
      <c r="M90" s="2" t="s">
        <v>25</v>
      </c>
    </row>
    <row r="91" ht="14.25" customHeight="1">
      <c r="A91" s="2" t="s">
        <v>226</v>
      </c>
      <c r="B91" s="2" t="s">
        <v>31</v>
      </c>
      <c r="C91" s="2" t="s">
        <v>227</v>
      </c>
      <c r="D91" s="2" t="s">
        <v>49</v>
      </c>
      <c r="E91" s="2" t="s">
        <v>50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24</v>
      </c>
      <c r="M91" s="2" t="s">
        <v>25</v>
      </c>
    </row>
    <row r="92" ht="14.25" customHeight="1">
      <c r="A92" s="2" t="s">
        <v>228</v>
      </c>
      <c r="B92" s="2" t="s">
        <v>40</v>
      </c>
      <c r="C92" s="2" t="s">
        <v>229</v>
      </c>
      <c r="D92" s="2" t="s">
        <v>49</v>
      </c>
      <c r="E92" s="2" t="s">
        <v>50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18</v>
      </c>
      <c r="M92" s="2" t="s">
        <v>25</v>
      </c>
    </row>
    <row r="93" ht="14.25" customHeight="1">
      <c r="A93" s="2" t="s">
        <v>230</v>
      </c>
      <c r="B93" s="2" t="s">
        <v>14</v>
      </c>
      <c r="C93" s="2" t="s">
        <v>164</v>
      </c>
      <c r="D93" s="2" t="s">
        <v>33</v>
      </c>
      <c r="E93" s="2" t="s">
        <v>34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58</v>
      </c>
      <c r="M93" s="2" t="s">
        <v>55</v>
      </c>
    </row>
    <row r="94" ht="14.25" customHeight="1">
      <c r="A94" s="2" t="s">
        <v>231</v>
      </c>
      <c r="B94" s="2" t="s">
        <v>31</v>
      </c>
      <c r="C94" s="2" t="s">
        <v>232</v>
      </c>
      <c r="D94" s="2" t="s">
        <v>69</v>
      </c>
      <c r="E94" s="2" t="s">
        <v>70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116</v>
      </c>
      <c r="M94" s="2" t="s">
        <v>19</v>
      </c>
    </row>
    <row r="95" ht="14.25" customHeight="1">
      <c r="A95" s="2" t="s">
        <v>233</v>
      </c>
      <c r="B95" s="2" t="s">
        <v>31</v>
      </c>
      <c r="C95" s="2" t="s">
        <v>201</v>
      </c>
      <c r="D95" s="2" t="s">
        <v>49</v>
      </c>
      <c r="E95" s="2" t="s">
        <v>50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58</v>
      </c>
      <c r="M95" s="2" t="s">
        <v>25</v>
      </c>
    </row>
    <row r="96" ht="14.25" customHeight="1">
      <c r="A96" s="2" t="s">
        <v>234</v>
      </c>
      <c r="B96" s="2" t="s">
        <v>31</v>
      </c>
      <c r="C96" s="2" t="s">
        <v>235</v>
      </c>
      <c r="D96" s="2" t="s">
        <v>22</v>
      </c>
      <c r="E96" s="2" t="s">
        <v>23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87</v>
      </c>
      <c r="M96" s="2" t="s">
        <v>25</v>
      </c>
    </row>
    <row r="97" ht="14.25" customHeight="1">
      <c r="A97" s="2" t="s">
        <v>236</v>
      </c>
      <c r="B97" s="2" t="s">
        <v>14</v>
      </c>
      <c r="C97" s="2" t="s">
        <v>237</v>
      </c>
      <c r="D97" s="2" t="s">
        <v>49</v>
      </c>
      <c r="E97" s="2" t="s">
        <v>50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77</v>
      </c>
      <c r="M97" s="2" t="s">
        <v>38</v>
      </c>
    </row>
    <row r="98" ht="14.25" customHeight="1">
      <c r="A98" s="2" t="s">
        <v>238</v>
      </c>
      <c r="B98" s="2" t="s">
        <v>31</v>
      </c>
      <c r="C98" s="2" t="s">
        <v>239</v>
      </c>
      <c r="D98" s="2" t="s">
        <v>49</v>
      </c>
      <c r="E98" s="2" t="s">
        <v>50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61</v>
      </c>
      <c r="M98" s="2" t="s">
        <v>25</v>
      </c>
    </row>
    <row r="99" ht="14.25" customHeight="1">
      <c r="A99" s="2" t="s">
        <v>240</v>
      </c>
      <c r="B99" s="2" t="s">
        <v>14</v>
      </c>
      <c r="C99" s="2" t="s">
        <v>148</v>
      </c>
      <c r="D99" s="2" t="s">
        <v>33</v>
      </c>
      <c r="E99" s="2" t="s">
        <v>34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58</v>
      </c>
      <c r="M99" s="2" t="s">
        <v>38</v>
      </c>
    </row>
    <row r="100" ht="14.25" customHeight="1">
      <c r="A100" s="2" t="s">
        <v>241</v>
      </c>
      <c r="B100" s="2" t="s">
        <v>27</v>
      </c>
      <c r="C100" s="2" t="s">
        <v>242</v>
      </c>
      <c r="D100" s="2" t="s">
        <v>42</v>
      </c>
      <c r="E100" s="2" t="s">
        <v>43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58</v>
      </c>
      <c r="M100" s="2" t="s">
        <v>38</v>
      </c>
    </row>
    <row r="101" ht="14.25" customHeight="1">
      <c r="A101" s="2" t="s">
        <v>243</v>
      </c>
      <c r="B101" s="2" t="s">
        <v>27</v>
      </c>
      <c r="C101" s="2" t="s">
        <v>244</v>
      </c>
      <c r="D101" s="2" t="s">
        <v>69</v>
      </c>
      <c r="E101" s="2" t="s">
        <v>70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58</v>
      </c>
      <c r="M101" s="2" t="s">
        <v>19</v>
      </c>
    </row>
    <row r="102" ht="14.25" customHeight="1">
      <c r="A102" s="2" t="s">
        <v>245</v>
      </c>
      <c r="B102" s="2" t="s">
        <v>27</v>
      </c>
      <c r="C102" s="2" t="s">
        <v>195</v>
      </c>
      <c r="D102" s="2" t="s">
        <v>69</v>
      </c>
      <c r="E102" s="2" t="s">
        <v>70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82</v>
      </c>
      <c r="M102" s="2" t="s">
        <v>25</v>
      </c>
    </row>
    <row r="103" ht="14.25" customHeight="1">
      <c r="A103" s="2" t="s">
        <v>246</v>
      </c>
      <c r="B103" s="2" t="s">
        <v>14</v>
      </c>
      <c r="C103" s="2" t="s">
        <v>247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105</v>
      </c>
      <c r="M103" s="2" t="s">
        <v>38</v>
      </c>
    </row>
    <row r="104" ht="14.25" customHeight="1">
      <c r="A104" s="2" t="s">
        <v>248</v>
      </c>
      <c r="B104" s="2" t="s">
        <v>40</v>
      </c>
      <c r="C104" s="2" t="s">
        <v>249</v>
      </c>
      <c r="D104" s="2" t="s">
        <v>49</v>
      </c>
      <c r="E104" s="2" t="s">
        <v>50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44</v>
      </c>
      <c r="M104" s="2" t="s">
        <v>19</v>
      </c>
    </row>
    <row r="105" ht="14.25" customHeight="1">
      <c r="A105" s="2" t="s">
        <v>250</v>
      </c>
      <c r="B105" s="2" t="s">
        <v>27</v>
      </c>
      <c r="C105" s="2" t="s">
        <v>251</v>
      </c>
      <c r="D105" s="2" t="s">
        <v>33</v>
      </c>
      <c r="E105" s="2" t="s">
        <v>34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44</v>
      </c>
      <c r="M105" s="2" t="s">
        <v>55</v>
      </c>
    </row>
    <row r="106" ht="14.25" customHeight="1">
      <c r="A106" s="2" t="s">
        <v>252</v>
      </c>
      <c r="B106" s="2" t="s">
        <v>31</v>
      </c>
      <c r="C106" s="2" t="s">
        <v>253</v>
      </c>
      <c r="D106" s="2" t="s">
        <v>42</v>
      </c>
      <c r="E106" s="2" t="s">
        <v>43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162</v>
      </c>
      <c r="M106" s="2" t="s">
        <v>55</v>
      </c>
    </row>
    <row r="107" ht="14.25" customHeight="1">
      <c r="A107" s="2" t="s">
        <v>254</v>
      </c>
      <c r="B107" s="2" t="s">
        <v>31</v>
      </c>
      <c r="C107" s="2" t="s">
        <v>255</v>
      </c>
      <c r="D107" s="2" t="s">
        <v>49</v>
      </c>
      <c r="E107" s="2" t="s">
        <v>50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24</v>
      </c>
      <c r="M107" s="2" t="s">
        <v>19</v>
      </c>
    </row>
    <row r="108" ht="14.25" customHeight="1">
      <c r="A108" s="2" t="s">
        <v>256</v>
      </c>
      <c r="B108" s="2" t="s">
        <v>27</v>
      </c>
      <c r="C108" s="2" t="s">
        <v>257</v>
      </c>
      <c r="D108" s="2" t="s">
        <v>49</v>
      </c>
      <c r="E108" s="2" t="s">
        <v>50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82</v>
      </c>
      <c r="M108" s="2" t="s">
        <v>38</v>
      </c>
    </row>
    <row r="109" ht="14.25" customHeight="1">
      <c r="A109" s="2" t="s">
        <v>258</v>
      </c>
      <c r="B109" s="2" t="s">
        <v>14</v>
      </c>
      <c r="C109" s="2" t="s">
        <v>259</v>
      </c>
      <c r="D109" s="2" t="s">
        <v>69</v>
      </c>
      <c r="E109" s="2" t="s">
        <v>70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162</v>
      </c>
      <c r="M109" s="2" t="s">
        <v>19</v>
      </c>
    </row>
    <row r="110" ht="14.25" customHeight="1">
      <c r="A110" s="2" t="s">
        <v>260</v>
      </c>
      <c r="B110" s="2" t="s">
        <v>14</v>
      </c>
      <c r="C110" s="2" t="s">
        <v>261</v>
      </c>
      <c r="D110" s="2" t="s">
        <v>33</v>
      </c>
      <c r="E110" s="2" t="s">
        <v>34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146</v>
      </c>
      <c r="M110" s="2" t="s">
        <v>19</v>
      </c>
    </row>
    <row r="111" ht="14.25" customHeight="1">
      <c r="A111" s="2" t="s">
        <v>262</v>
      </c>
      <c r="B111" s="2" t="s">
        <v>31</v>
      </c>
      <c r="C111" s="2" t="s">
        <v>263</v>
      </c>
      <c r="D111" s="2" t="s">
        <v>16</v>
      </c>
      <c r="E111" s="2" t="s">
        <v>17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264</v>
      </c>
      <c r="M111" s="2" t="s">
        <v>25</v>
      </c>
    </row>
    <row r="112" ht="14.25" customHeight="1">
      <c r="A112" s="2" t="s">
        <v>265</v>
      </c>
      <c r="B112" s="2" t="s">
        <v>27</v>
      </c>
      <c r="C112" s="2" t="s">
        <v>266</v>
      </c>
      <c r="D112" s="2" t="s">
        <v>49</v>
      </c>
      <c r="E112" s="2" t="s">
        <v>50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146</v>
      </c>
      <c r="M112" s="2" t="s">
        <v>38</v>
      </c>
    </row>
    <row r="113" ht="14.25" customHeight="1">
      <c r="A113" s="2" t="s">
        <v>267</v>
      </c>
      <c r="B113" s="2" t="s">
        <v>14</v>
      </c>
      <c r="C113" s="2" t="s">
        <v>268</v>
      </c>
      <c r="D113" s="2" t="s">
        <v>33</v>
      </c>
      <c r="E113" s="2" t="s">
        <v>34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29</v>
      </c>
      <c r="M113" s="2" t="s">
        <v>38</v>
      </c>
    </row>
    <row r="114" ht="14.25" customHeight="1">
      <c r="A114" s="2" t="s">
        <v>269</v>
      </c>
      <c r="B114" s="2" t="s">
        <v>14</v>
      </c>
      <c r="C114" s="2" t="s">
        <v>270</v>
      </c>
      <c r="D114" s="2" t="s">
        <v>42</v>
      </c>
      <c r="E114" s="2" t="s">
        <v>43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44</v>
      </c>
      <c r="M114" s="2" t="s">
        <v>55</v>
      </c>
    </row>
    <row r="115" ht="14.25" customHeight="1">
      <c r="A115" s="2" t="s">
        <v>271</v>
      </c>
      <c r="B115" s="2" t="s">
        <v>14</v>
      </c>
      <c r="C115" s="2" t="s">
        <v>272</v>
      </c>
      <c r="D115" s="2" t="s">
        <v>33</v>
      </c>
      <c r="E115" s="2" t="s">
        <v>34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144</v>
      </c>
      <c r="M115" s="2" t="s">
        <v>38</v>
      </c>
    </row>
    <row r="116" ht="14.25" customHeight="1">
      <c r="A116" s="2" t="s">
        <v>273</v>
      </c>
      <c r="B116" s="2" t="s">
        <v>14</v>
      </c>
      <c r="C116" s="2" t="s">
        <v>274</v>
      </c>
      <c r="D116" s="2" t="s">
        <v>49</v>
      </c>
      <c r="E116" s="2" t="s">
        <v>50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82</v>
      </c>
      <c r="M116" s="2" t="s">
        <v>19</v>
      </c>
    </row>
    <row r="117" ht="14.25" customHeight="1">
      <c r="A117" s="2" t="s">
        <v>275</v>
      </c>
      <c r="B117" s="2" t="s">
        <v>27</v>
      </c>
      <c r="C117" s="2" t="s">
        <v>276</v>
      </c>
      <c r="D117" s="2" t="s">
        <v>16</v>
      </c>
      <c r="E117" s="2" t="s">
        <v>17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58</v>
      </c>
      <c r="M117" s="2" t="s">
        <v>19</v>
      </c>
    </row>
    <row r="118" ht="14.25" customHeight="1">
      <c r="A118" s="2" t="s">
        <v>277</v>
      </c>
      <c r="B118" s="2" t="s">
        <v>14</v>
      </c>
      <c r="C118" s="2" t="s">
        <v>278</v>
      </c>
      <c r="D118" s="2" t="s">
        <v>49</v>
      </c>
      <c r="E118" s="2" t="s">
        <v>50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82</v>
      </c>
      <c r="M118" s="2" t="s">
        <v>25</v>
      </c>
    </row>
    <row r="119" ht="14.25" customHeight="1">
      <c r="A119" s="2" t="s">
        <v>279</v>
      </c>
      <c r="B119" s="2" t="s">
        <v>40</v>
      </c>
      <c r="C119" s="2" t="s">
        <v>278</v>
      </c>
      <c r="D119" s="2" t="s">
        <v>49</v>
      </c>
      <c r="E119" s="2" t="s">
        <v>50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44</v>
      </c>
      <c r="M119" s="2" t="s">
        <v>25</v>
      </c>
    </row>
    <row r="120" ht="14.25" customHeight="1">
      <c r="A120" s="2" t="s">
        <v>280</v>
      </c>
      <c r="B120" s="2" t="s">
        <v>31</v>
      </c>
      <c r="C120" s="2" t="s">
        <v>281</v>
      </c>
      <c r="D120" s="2" t="s">
        <v>16</v>
      </c>
      <c r="E120" s="2" t="s">
        <v>17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44</v>
      </c>
      <c r="M120" s="2" t="s">
        <v>55</v>
      </c>
    </row>
    <row r="121" ht="14.25" customHeight="1">
      <c r="A121" s="2" t="s">
        <v>282</v>
      </c>
      <c r="B121" s="2" t="s">
        <v>40</v>
      </c>
      <c r="C121" s="2" t="s">
        <v>164</v>
      </c>
      <c r="D121" s="2" t="s">
        <v>33</v>
      </c>
      <c r="E121" s="2" t="s">
        <v>34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66</v>
      </c>
      <c r="M121" s="2" t="s">
        <v>55</v>
      </c>
    </row>
    <row r="122" ht="14.25" customHeight="1">
      <c r="A122" s="2" t="s">
        <v>283</v>
      </c>
      <c r="B122" s="2" t="s">
        <v>31</v>
      </c>
      <c r="C122" s="2" t="s">
        <v>263</v>
      </c>
      <c r="D122" s="2" t="s">
        <v>33</v>
      </c>
      <c r="E122" s="2" t="s">
        <v>34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264</v>
      </c>
      <c r="M122" s="2" t="s">
        <v>55</v>
      </c>
    </row>
    <row r="123" ht="14.25" customHeight="1">
      <c r="A123" s="2" t="s">
        <v>284</v>
      </c>
      <c r="B123" s="2" t="s">
        <v>31</v>
      </c>
      <c r="C123" s="2" t="s">
        <v>270</v>
      </c>
      <c r="D123" s="2" t="s">
        <v>22</v>
      </c>
      <c r="E123" s="2" t="s">
        <v>23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285</v>
      </c>
      <c r="M123" s="2" t="s">
        <v>25</v>
      </c>
    </row>
    <row r="124" ht="14.25" customHeight="1">
      <c r="A124" s="2" t="s">
        <v>286</v>
      </c>
      <c r="B124" s="2" t="s">
        <v>31</v>
      </c>
      <c r="C124" s="2" t="s">
        <v>253</v>
      </c>
      <c r="D124" s="2" t="s">
        <v>33</v>
      </c>
      <c r="E124" s="2" t="s">
        <v>34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66</v>
      </c>
      <c r="M124" s="2" t="s">
        <v>25</v>
      </c>
    </row>
    <row r="125" ht="14.25" customHeight="1">
      <c r="A125" s="2" t="s">
        <v>287</v>
      </c>
      <c r="B125" s="2" t="s">
        <v>27</v>
      </c>
      <c r="C125" s="2" t="s">
        <v>288</v>
      </c>
      <c r="D125" s="2" t="s">
        <v>42</v>
      </c>
      <c r="E125" s="2" t="s">
        <v>43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58</v>
      </c>
      <c r="M125" s="2" t="s">
        <v>38</v>
      </c>
    </row>
    <row r="126" ht="14.25" customHeight="1">
      <c r="A126" s="2" t="s">
        <v>289</v>
      </c>
      <c r="B126" s="2" t="s">
        <v>14</v>
      </c>
      <c r="C126" s="2" t="s">
        <v>290</v>
      </c>
      <c r="D126" s="2" t="s">
        <v>42</v>
      </c>
      <c r="E126" s="2" t="s">
        <v>43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58</v>
      </c>
      <c r="M126" s="2" t="s">
        <v>38</v>
      </c>
    </row>
    <row r="127" ht="14.25" customHeight="1">
      <c r="A127" s="2" t="s">
        <v>291</v>
      </c>
      <c r="B127" s="2" t="s">
        <v>31</v>
      </c>
      <c r="C127" s="2" t="s">
        <v>180</v>
      </c>
      <c r="D127" s="2" t="s">
        <v>42</v>
      </c>
      <c r="E127" s="2" t="s">
        <v>43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24</v>
      </c>
      <c r="M127" s="2" t="s">
        <v>25</v>
      </c>
    </row>
    <row r="128" ht="14.25" customHeight="1">
      <c r="A128" s="2" t="s">
        <v>292</v>
      </c>
      <c r="B128" s="2" t="s">
        <v>40</v>
      </c>
      <c r="C128" s="2" t="s">
        <v>219</v>
      </c>
      <c r="D128" s="2" t="s">
        <v>16</v>
      </c>
      <c r="E128" s="2" t="s">
        <v>17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82</v>
      </c>
      <c r="M128" s="2" t="s">
        <v>19</v>
      </c>
    </row>
    <row r="129" ht="14.25" customHeight="1">
      <c r="A129" s="2" t="s">
        <v>293</v>
      </c>
      <c r="B129" s="2" t="s">
        <v>14</v>
      </c>
      <c r="C129" s="2" t="s">
        <v>225</v>
      </c>
      <c r="D129" s="2" t="s">
        <v>49</v>
      </c>
      <c r="E129" s="2" t="s">
        <v>50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58</v>
      </c>
      <c r="M129" s="2" t="s">
        <v>55</v>
      </c>
    </row>
    <row r="130" ht="14.25" customHeight="1">
      <c r="A130" s="2" t="s">
        <v>294</v>
      </c>
      <c r="B130" s="2" t="s">
        <v>14</v>
      </c>
      <c r="C130" s="2" t="s">
        <v>60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77</v>
      </c>
      <c r="M130" s="2" t="s">
        <v>55</v>
      </c>
    </row>
    <row r="131" ht="14.25" customHeight="1">
      <c r="A131" s="2" t="s">
        <v>295</v>
      </c>
      <c r="B131" s="2" t="s">
        <v>27</v>
      </c>
      <c r="C131" s="2" t="s">
        <v>296</v>
      </c>
      <c r="D131" s="2" t="s">
        <v>16</v>
      </c>
      <c r="E131" s="2" t="s">
        <v>17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18</v>
      </c>
      <c r="M131" s="2" t="s">
        <v>38</v>
      </c>
    </row>
    <row r="132" ht="14.25" customHeight="1">
      <c r="A132" s="2" t="s">
        <v>297</v>
      </c>
      <c r="B132" s="2" t="s">
        <v>31</v>
      </c>
      <c r="C132" s="2" t="s">
        <v>164</v>
      </c>
      <c r="D132" s="2" t="s">
        <v>16</v>
      </c>
      <c r="E132" s="2" t="s">
        <v>17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66</v>
      </c>
      <c r="M132" s="2" t="s">
        <v>25</v>
      </c>
    </row>
    <row r="133" ht="14.25" customHeight="1">
      <c r="A133" s="2" t="s">
        <v>298</v>
      </c>
      <c r="B133" s="2" t="s">
        <v>31</v>
      </c>
      <c r="C133" s="2" t="s">
        <v>101</v>
      </c>
      <c r="D133" s="2" t="s">
        <v>33</v>
      </c>
      <c r="E133" s="2" t="s">
        <v>34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24</v>
      </c>
      <c r="M133" s="2" t="s">
        <v>25</v>
      </c>
    </row>
    <row r="134" ht="14.25" customHeight="1">
      <c r="A134" s="2" t="s">
        <v>299</v>
      </c>
      <c r="B134" s="2" t="s">
        <v>40</v>
      </c>
      <c r="C134" s="2" t="s">
        <v>300</v>
      </c>
      <c r="D134" s="2" t="s">
        <v>49</v>
      </c>
      <c r="E134" s="2" t="s">
        <v>50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18</v>
      </c>
      <c r="M134" s="2" t="s">
        <v>38</v>
      </c>
    </row>
    <row r="135" ht="14.25" customHeight="1">
      <c r="A135" s="2" t="s">
        <v>301</v>
      </c>
      <c r="B135" s="2" t="s">
        <v>14</v>
      </c>
      <c r="C135" s="2" t="s">
        <v>302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77</v>
      </c>
      <c r="M135" s="2" t="s">
        <v>55</v>
      </c>
    </row>
    <row r="136" ht="14.25" customHeight="1">
      <c r="A136" s="2" t="s">
        <v>303</v>
      </c>
      <c r="B136" s="2" t="s">
        <v>40</v>
      </c>
      <c r="C136" s="2" t="s">
        <v>304</v>
      </c>
      <c r="D136" s="2" t="s">
        <v>22</v>
      </c>
      <c r="E136" s="2" t="s">
        <v>23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44</v>
      </c>
      <c r="M136" s="2" t="s">
        <v>38</v>
      </c>
    </row>
    <row r="137" ht="14.25" customHeight="1">
      <c r="A137" s="2" t="s">
        <v>305</v>
      </c>
      <c r="B137" s="2" t="s">
        <v>31</v>
      </c>
      <c r="C137" s="2" t="s">
        <v>306</v>
      </c>
      <c r="D137" s="2" t="s">
        <v>22</v>
      </c>
      <c r="E137" s="2" t="s">
        <v>23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66</v>
      </c>
      <c r="M137" s="2" t="s">
        <v>55</v>
      </c>
    </row>
    <row r="138" ht="14.25" customHeight="1">
      <c r="A138" s="2" t="s">
        <v>307</v>
      </c>
      <c r="B138" s="2" t="s">
        <v>40</v>
      </c>
      <c r="C138" s="2" t="s">
        <v>111</v>
      </c>
      <c r="D138" s="2" t="s">
        <v>69</v>
      </c>
      <c r="E138" s="2" t="s">
        <v>70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77</v>
      </c>
      <c r="M138" s="2" t="s">
        <v>19</v>
      </c>
    </row>
    <row r="139" ht="14.25" customHeight="1">
      <c r="A139" s="2" t="s">
        <v>308</v>
      </c>
      <c r="B139" s="2" t="s">
        <v>14</v>
      </c>
      <c r="C139" s="2" t="s">
        <v>184</v>
      </c>
      <c r="D139" s="2" t="s">
        <v>49</v>
      </c>
      <c r="E139" s="2" t="s">
        <v>50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285</v>
      </c>
      <c r="M139" s="2" t="s">
        <v>55</v>
      </c>
    </row>
    <row r="140" ht="14.25" customHeight="1">
      <c r="A140" s="2" t="s">
        <v>309</v>
      </c>
      <c r="B140" s="2" t="s">
        <v>27</v>
      </c>
      <c r="C140" s="2" t="s">
        <v>310</v>
      </c>
      <c r="D140" s="2" t="s">
        <v>22</v>
      </c>
      <c r="E140" s="2" t="s">
        <v>23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146</v>
      </c>
      <c r="M140" s="2" t="s">
        <v>25</v>
      </c>
    </row>
    <row r="141" ht="14.25" customHeight="1">
      <c r="A141" s="2" t="s">
        <v>311</v>
      </c>
      <c r="B141" s="2" t="s">
        <v>40</v>
      </c>
      <c r="C141" s="2" t="s">
        <v>312</v>
      </c>
      <c r="D141" s="2" t="s">
        <v>49</v>
      </c>
      <c r="E141" s="2" t="s">
        <v>50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77</v>
      </c>
      <c r="M141" s="2" t="s">
        <v>19</v>
      </c>
    </row>
    <row r="142" ht="14.25" customHeight="1">
      <c r="A142" s="2" t="s">
        <v>313</v>
      </c>
      <c r="B142" s="2" t="s">
        <v>14</v>
      </c>
      <c r="C142" s="2" t="s">
        <v>314</v>
      </c>
      <c r="D142" s="2" t="s">
        <v>49</v>
      </c>
      <c r="E142" s="2" t="s">
        <v>50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18</v>
      </c>
      <c r="M142" s="2" t="s">
        <v>38</v>
      </c>
    </row>
    <row r="143" ht="14.25" customHeight="1">
      <c r="A143" s="2" t="s">
        <v>315</v>
      </c>
      <c r="B143" s="2" t="s">
        <v>27</v>
      </c>
      <c r="C143" s="2" t="s">
        <v>259</v>
      </c>
      <c r="D143" s="2" t="s">
        <v>33</v>
      </c>
      <c r="E143" s="2" t="s">
        <v>34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18</v>
      </c>
      <c r="M143" s="2" t="s">
        <v>55</v>
      </c>
    </row>
    <row r="144" ht="14.25" customHeight="1">
      <c r="A144" s="2" t="s">
        <v>316</v>
      </c>
      <c r="B144" s="2" t="s">
        <v>27</v>
      </c>
      <c r="C144" s="2" t="s">
        <v>270</v>
      </c>
      <c r="D144" s="2" t="s">
        <v>42</v>
      </c>
      <c r="E144" s="2" t="s">
        <v>43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146</v>
      </c>
      <c r="M144" s="2" t="s">
        <v>25</v>
      </c>
    </row>
    <row r="145" ht="14.25" customHeight="1">
      <c r="A145" s="2" t="s">
        <v>317</v>
      </c>
      <c r="B145" s="2" t="s">
        <v>27</v>
      </c>
      <c r="C145" s="2" t="s">
        <v>197</v>
      </c>
      <c r="D145" s="2" t="s">
        <v>33</v>
      </c>
      <c r="E145" s="2" t="s">
        <v>34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214</v>
      </c>
      <c r="M145" s="2" t="s">
        <v>19</v>
      </c>
    </row>
    <row r="146" ht="14.25" customHeight="1">
      <c r="A146" s="2" t="s">
        <v>318</v>
      </c>
      <c r="B146" s="2" t="s">
        <v>31</v>
      </c>
      <c r="C146" s="2" t="s">
        <v>32</v>
      </c>
      <c r="D146" s="2" t="s">
        <v>42</v>
      </c>
      <c r="E146" s="2" t="s">
        <v>43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178</v>
      </c>
      <c r="M146" s="2" t="s">
        <v>19</v>
      </c>
    </row>
    <row r="147" ht="14.25" customHeight="1">
      <c r="A147" s="2" t="s">
        <v>319</v>
      </c>
      <c r="B147" s="2" t="s">
        <v>27</v>
      </c>
      <c r="C147" s="2" t="s">
        <v>320</v>
      </c>
      <c r="D147" s="2" t="s">
        <v>16</v>
      </c>
      <c r="E147" s="2" t="s">
        <v>17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58</v>
      </c>
      <c r="M147" s="2" t="s">
        <v>19</v>
      </c>
    </row>
    <row r="148" ht="14.25" customHeight="1">
      <c r="A148" s="2" t="s">
        <v>321</v>
      </c>
      <c r="B148" s="2" t="s">
        <v>31</v>
      </c>
      <c r="C148" s="2" t="s">
        <v>164</v>
      </c>
      <c r="D148" s="2" t="s">
        <v>16</v>
      </c>
      <c r="E148" s="2" t="s">
        <v>17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82</v>
      </c>
      <c r="M148" s="2" t="s">
        <v>38</v>
      </c>
    </row>
    <row r="149" ht="14.25" customHeight="1">
      <c r="A149" s="2" t="s">
        <v>322</v>
      </c>
      <c r="B149" s="2" t="s">
        <v>31</v>
      </c>
      <c r="C149" s="2" t="s">
        <v>166</v>
      </c>
      <c r="D149" s="2" t="s">
        <v>69</v>
      </c>
      <c r="E149" s="2" t="s">
        <v>70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58</v>
      </c>
      <c r="M149" s="2" t="s">
        <v>25</v>
      </c>
    </row>
    <row r="150" ht="14.25" customHeight="1">
      <c r="A150" s="2" t="s">
        <v>323</v>
      </c>
      <c r="B150" s="2" t="s">
        <v>14</v>
      </c>
      <c r="C150" s="2" t="s">
        <v>324</v>
      </c>
      <c r="D150" s="2" t="s">
        <v>69</v>
      </c>
      <c r="E150" s="2" t="s">
        <v>70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44</v>
      </c>
      <c r="M150" s="2" t="s">
        <v>38</v>
      </c>
    </row>
    <row r="151" ht="14.25" customHeight="1">
      <c r="A151" s="2" t="s">
        <v>325</v>
      </c>
      <c r="B151" s="2" t="s">
        <v>27</v>
      </c>
      <c r="C151" s="2" t="s">
        <v>326</v>
      </c>
      <c r="D151" s="2" t="s">
        <v>42</v>
      </c>
      <c r="E151" s="2" t="s">
        <v>43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209</v>
      </c>
      <c r="M151" s="2" t="s">
        <v>25</v>
      </c>
    </row>
    <row r="152" ht="14.25" customHeight="1">
      <c r="A152" s="2" t="s">
        <v>327</v>
      </c>
      <c r="B152" s="2" t="s">
        <v>31</v>
      </c>
      <c r="C152" s="2" t="s">
        <v>182</v>
      </c>
      <c r="D152" s="2" t="s">
        <v>49</v>
      </c>
      <c r="E152" s="2" t="s">
        <v>50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214</v>
      </c>
      <c r="M152" s="2" t="s">
        <v>38</v>
      </c>
    </row>
    <row r="153" ht="14.25" customHeight="1">
      <c r="A153" s="2" t="s">
        <v>328</v>
      </c>
      <c r="B153" s="2" t="s">
        <v>40</v>
      </c>
      <c r="C153" s="2" t="s">
        <v>329</v>
      </c>
      <c r="D153" s="2" t="s">
        <v>49</v>
      </c>
      <c r="E153" s="2" t="s">
        <v>50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82</v>
      </c>
      <c r="M153" s="2" t="s">
        <v>55</v>
      </c>
    </row>
    <row r="154" ht="14.25" customHeight="1">
      <c r="A154" s="2" t="s">
        <v>330</v>
      </c>
      <c r="B154" s="2" t="s">
        <v>14</v>
      </c>
      <c r="C154" s="2" t="s">
        <v>331</v>
      </c>
      <c r="D154" s="2" t="s">
        <v>69</v>
      </c>
      <c r="E154" s="2" t="s">
        <v>70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178</v>
      </c>
      <c r="M154" s="2" t="s">
        <v>38</v>
      </c>
    </row>
    <row r="155" ht="14.25" customHeight="1">
      <c r="A155" s="2" t="s">
        <v>332</v>
      </c>
      <c r="B155" s="2" t="s">
        <v>31</v>
      </c>
      <c r="C155" s="2" t="s">
        <v>205</v>
      </c>
      <c r="D155" s="2" t="s">
        <v>42</v>
      </c>
      <c r="E155" s="2" t="s">
        <v>43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66</v>
      </c>
      <c r="M155" s="2" t="s">
        <v>25</v>
      </c>
    </row>
    <row r="156" ht="14.25" customHeight="1">
      <c r="A156" s="2" t="s">
        <v>333</v>
      </c>
      <c r="B156" s="2" t="s">
        <v>27</v>
      </c>
      <c r="C156" s="2" t="s">
        <v>334</v>
      </c>
      <c r="D156" s="2" t="s">
        <v>49</v>
      </c>
      <c r="E156" s="2" t="s">
        <v>50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146</v>
      </c>
      <c r="M156" s="2" t="s">
        <v>38</v>
      </c>
    </row>
    <row r="157" ht="14.25" customHeight="1">
      <c r="A157" s="2" t="s">
        <v>335</v>
      </c>
      <c r="B157" s="2" t="s">
        <v>40</v>
      </c>
      <c r="C157" s="2" t="s">
        <v>336</v>
      </c>
      <c r="D157" s="2" t="s">
        <v>42</v>
      </c>
      <c r="E157" s="2" t="s">
        <v>43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44</v>
      </c>
      <c r="M157" s="2" t="s">
        <v>38</v>
      </c>
    </row>
    <row r="158" ht="14.25" customHeight="1">
      <c r="A158" s="2" t="s">
        <v>337</v>
      </c>
      <c r="B158" s="2" t="s">
        <v>27</v>
      </c>
      <c r="C158" s="2" t="s">
        <v>338</v>
      </c>
      <c r="D158" s="2" t="s">
        <v>33</v>
      </c>
      <c r="E158" s="2" t="s">
        <v>34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87</v>
      </c>
      <c r="M158" s="2" t="s">
        <v>55</v>
      </c>
    </row>
    <row r="159" ht="14.25" customHeight="1">
      <c r="A159" s="2" t="s">
        <v>339</v>
      </c>
      <c r="B159" s="2" t="s">
        <v>31</v>
      </c>
      <c r="C159" s="2" t="s">
        <v>340</v>
      </c>
      <c r="D159" s="2" t="s">
        <v>33</v>
      </c>
      <c r="E159" s="2" t="s">
        <v>34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77</v>
      </c>
      <c r="M159" s="2" t="s">
        <v>25</v>
      </c>
    </row>
    <row r="160" ht="14.25" customHeight="1">
      <c r="A160" s="2" t="s">
        <v>341</v>
      </c>
      <c r="B160" s="2" t="s">
        <v>40</v>
      </c>
      <c r="C160" s="2" t="s">
        <v>126</v>
      </c>
      <c r="D160" s="2" t="s">
        <v>33</v>
      </c>
      <c r="E160" s="2" t="s">
        <v>34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87</v>
      </c>
      <c r="M160" s="2" t="s">
        <v>25</v>
      </c>
    </row>
    <row r="161" ht="14.25" customHeight="1">
      <c r="A161" s="2" t="s">
        <v>342</v>
      </c>
      <c r="B161" s="2" t="s">
        <v>14</v>
      </c>
      <c r="C161" s="2" t="s">
        <v>343</v>
      </c>
      <c r="D161" s="2" t="s">
        <v>69</v>
      </c>
      <c r="E161" s="2" t="s">
        <v>70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58</v>
      </c>
      <c r="M161" s="2" t="s">
        <v>55</v>
      </c>
    </row>
    <row r="162" ht="14.25" customHeight="1">
      <c r="A162" s="2" t="s">
        <v>344</v>
      </c>
      <c r="B162" s="2" t="s">
        <v>14</v>
      </c>
      <c r="C162" s="2" t="s">
        <v>345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18</v>
      </c>
      <c r="M162" s="2" t="s">
        <v>25</v>
      </c>
    </row>
    <row r="163" ht="14.25" customHeight="1">
      <c r="A163" s="2" t="s">
        <v>346</v>
      </c>
      <c r="B163" s="2" t="s">
        <v>40</v>
      </c>
      <c r="C163" s="2" t="s">
        <v>347</v>
      </c>
      <c r="D163" s="2" t="s">
        <v>33</v>
      </c>
      <c r="E163" s="2" t="s">
        <v>34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44</v>
      </c>
      <c r="M163" s="2" t="s">
        <v>25</v>
      </c>
    </row>
    <row r="164" ht="14.25" customHeight="1">
      <c r="A164" s="2" t="s">
        <v>348</v>
      </c>
      <c r="B164" s="2" t="s">
        <v>31</v>
      </c>
      <c r="C164" s="2" t="s">
        <v>349</v>
      </c>
      <c r="D164" s="2" t="s">
        <v>49</v>
      </c>
      <c r="E164" s="2" t="s">
        <v>50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24</v>
      </c>
      <c r="M164" s="2" t="s">
        <v>55</v>
      </c>
    </row>
    <row r="165" ht="14.25" customHeight="1">
      <c r="A165" s="2" t="s">
        <v>350</v>
      </c>
      <c r="B165" s="2" t="s">
        <v>27</v>
      </c>
      <c r="C165" s="2" t="s">
        <v>89</v>
      </c>
      <c r="D165" s="2" t="s">
        <v>22</v>
      </c>
      <c r="E165" s="2" t="s">
        <v>23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264</v>
      </c>
      <c r="M165" s="2" t="s">
        <v>25</v>
      </c>
    </row>
    <row r="166" ht="14.25" customHeight="1">
      <c r="A166" s="2" t="s">
        <v>351</v>
      </c>
      <c r="B166" s="2" t="s">
        <v>14</v>
      </c>
      <c r="C166" s="2" t="s">
        <v>232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214</v>
      </c>
      <c r="M166" s="2" t="s">
        <v>25</v>
      </c>
    </row>
    <row r="167" ht="14.25" customHeight="1">
      <c r="A167" s="2" t="s">
        <v>352</v>
      </c>
      <c r="B167" s="2" t="s">
        <v>14</v>
      </c>
      <c r="C167" s="2" t="s">
        <v>65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77</v>
      </c>
      <c r="M167" s="2" t="s">
        <v>25</v>
      </c>
    </row>
    <row r="168" ht="14.25" customHeight="1">
      <c r="A168" s="2" t="s">
        <v>353</v>
      </c>
      <c r="B168" s="2" t="s">
        <v>31</v>
      </c>
      <c r="C168" s="2" t="s">
        <v>304</v>
      </c>
      <c r="D168" s="2" t="s">
        <v>22</v>
      </c>
      <c r="E168" s="2" t="s">
        <v>23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18</v>
      </c>
      <c r="M168" s="2" t="s">
        <v>25</v>
      </c>
    </row>
    <row r="169" ht="14.25" customHeight="1">
      <c r="A169" s="2" t="s">
        <v>354</v>
      </c>
      <c r="B169" s="2" t="s">
        <v>40</v>
      </c>
      <c r="C169" s="2" t="s">
        <v>355</v>
      </c>
      <c r="D169" s="2" t="s">
        <v>22</v>
      </c>
      <c r="E169" s="2" t="s">
        <v>23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285</v>
      </c>
      <c r="M169" s="2" t="s">
        <v>55</v>
      </c>
    </row>
    <row r="170" ht="14.25" customHeight="1">
      <c r="A170" s="2" t="s">
        <v>356</v>
      </c>
      <c r="B170" s="2" t="s">
        <v>27</v>
      </c>
      <c r="C170" s="2" t="s">
        <v>357</v>
      </c>
      <c r="D170" s="2" t="s">
        <v>69</v>
      </c>
      <c r="E170" s="2" t="s">
        <v>70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44</v>
      </c>
      <c r="M170" s="2" t="s">
        <v>38</v>
      </c>
    </row>
    <row r="171" ht="14.25" customHeight="1">
      <c r="A171" s="2" t="s">
        <v>358</v>
      </c>
      <c r="B171" s="2" t="s">
        <v>14</v>
      </c>
      <c r="C171" s="2" t="s">
        <v>359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87</v>
      </c>
      <c r="M171" s="2" t="s">
        <v>55</v>
      </c>
    </row>
    <row r="172" ht="14.25" customHeight="1">
      <c r="A172" s="2" t="s">
        <v>360</v>
      </c>
      <c r="B172" s="2" t="s">
        <v>27</v>
      </c>
      <c r="C172" s="2" t="s">
        <v>361</v>
      </c>
      <c r="D172" s="2" t="s">
        <v>69</v>
      </c>
      <c r="E172" s="2" t="s">
        <v>70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66</v>
      </c>
      <c r="M172" s="2" t="s">
        <v>55</v>
      </c>
    </row>
    <row r="173" ht="14.25" customHeight="1">
      <c r="A173" s="2" t="s">
        <v>362</v>
      </c>
      <c r="B173" s="2" t="s">
        <v>40</v>
      </c>
      <c r="C173" s="2" t="s">
        <v>363</v>
      </c>
      <c r="D173" s="2" t="s">
        <v>42</v>
      </c>
      <c r="E173" s="2" t="s">
        <v>43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146</v>
      </c>
      <c r="M173" s="2" t="s">
        <v>55</v>
      </c>
    </row>
    <row r="174" ht="14.25" customHeight="1">
      <c r="A174" s="2" t="s">
        <v>364</v>
      </c>
      <c r="B174" s="2" t="s">
        <v>14</v>
      </c>
      <c r="C174" s="2" t="s">
        <v>365</v>
      </c>
      <c r="D174" s="2" t="s">
        <v>69</v>
      </c>
      <c r="E174" s="2" t="s">
        <v>70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178</v>
      </c>
      <c r="M174" s="2" t="s">
        <v>55</v>
      </c>
    </row>
    <row r="175" ht="14.25" customHeight="1">
      <c r="A175" s="2" t="s">
        <v>366</v>
      </c>
      <c r="B175" s="2" t="s">
        <v>40</v>
      </c>
      <c r="C175" s="2" t="s">
        <v>168</v>
      </c>
      <c r="D175" s="2" t="s">
        <v>22</v>
      </c>
      <c r="E175" s="2" t="s">
        <v>23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82</v>
      </c>
      <c r="M175" s="2" t="s">
        <v>55</v>
      </c>
    </row>
    <row r="176" ht="14.25" customHeight="1">
      <c r="A176" s="2" t="s">
        <v>367</v>
      </c>
      <c r="B176" s="2" t="s">
        <v>31</v>
      </c>
      <c r="C176" s="2" t="s">
        <v>368</v>
      </c>
      <c r="D176" s="2" t="s">
        <v>16</v>
      </c>
      <c r="E176" s="2" t="s">
        <v>17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18</v>
      </c>
      <c r="M176" s="2" t="s">
        <v>19</v>
      </c>
    </row>
    <row r="177" ht="14.25" customHeight="1">
      <c r="A177" s="2" t="s">
        <v>369</v>
      </c>
      <c r="B177" s="2" t="s">
        <v>40</v>
      </c>
      <c r="C177" s="2" t="s">
        <v>370</v>
      </c>
      <c r="D177" s="2" t="s">
        <v>69</v>
      </c>
      <c r="E177" s="2" t="s">
        <v>70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24</v>
      </c>
      <c r="M177" s="2" t="s">
        <v>25</v>
      </c>
    </row>
    <row r="178" ht="14.25" customHeight="1">
      <c r="A178" s="2" t="s">
        <v>371</v>
      </c>
      <c r="B178" s="2" t="s">
        <v>31</v>
      </c>
      <c r="C178" s="2" t="s">
        <v>372</v>
      </c>
      <c r="D178" s="2" t="s">
        <v>42</v>
      </c>
      <c r="E178" s="2" t="s">
        <v>43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77</v>
      </c>
      <c r="M178" s="2" t="s">
        <v>55</v>
      </c>
    </row>
    <row r="179" ht="14.25" customHeight="1">
      <c r="A179" s="2" t="s">
        <v>373</v>
      </c>
      <c r="B179" s="2" t="s">
        <v>31</v>
      </c>
      <c r="C179" s="2" t="s">
        <v>201</v>
      </c>
      <c r="D179" s="2" t="s">
        <v>69</v>
      </c>
      <c r="E179" s="2" t="s">
        <v>70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162</v>
      </c>
      <c r="M179" s="2" t="s">
        <v>55</v>
      </c>
    </row>
    <row r="180" ht="14.25" customHeight="1">
      <c r="A180" s="2" t="s">
        <v>374</v>
      </c>
      <c r="B180" s="2" t="s">
        <v>40</v>
      </c>
      <c r="C180" s="2" t="s">
        <v>312</v>
      </c>
      <c r="D180" s="2" t="s">
        <v>42</v>
      </c>
      <c r="E180" s="2" t="s">
        <v>43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58</v>
      </c>
      <c r="M180" s="2" t="s">
        <v>19</v>
      </c>
    </row>
    <row r="181" ht="14.25" customHeight="1">
      <c r="A181" s="2" t="s">
        <v>375</v>
      </c>
      <c r="B181" s="2" t="s">
        <v>27</v>
      </c>
      <c r="C181" s="2" t="s">
        <v>357</v>
      </c>
      <c r="D181" s="2" t="s">
        <v>22</v>
      </c>
      <c r="E181" s="2" t="s">
        <v>23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162</v>
      </c>
      <c r="M181" s="2" t="s">
        <v>55</v>
      </c>
    </row>
    <row r="182" ht="14.25" customHeight="1">
      <c r="A182" s="2" t="s">
        <v>376</v>
      </c>
      <c r="B182" s="2" t="s">
        <v>27</v>
      </c>
      <c r="C182" s="2" t="s">
        <v>377</v>
      </c>
      <c r="D182" s="2" t="s">
        <v>49</v>
      </c>
      <c r="E182" s="2" t="s">
        <v>50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18</v>
      </c>
      <c r="M182" s="2" t="s">
        <v>25</v>
      </c>
    </row>
    <row r="183" ht="14.25" customHeight="1">
      <c r="A183" s="2" t="s">
        <v>378</v>
      </c>
      <c r="B183" s="2" t="s">
        <v>40</v>
      </c>
      <c r="C183" s="2" t="s">
        <v>111</v>
      </c>
      <c r="D183" s="2" t="s">
        <v>49</v>
      </c>
      <c r="E183" s="2" t="s">
        <v>50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77</v>
      </c>
      <c r="M183" s="2" t="s">
        <v>19</v>
      </c>
    </row>
    <row r="184" ht="14.25" customHeight="1">
      <c r="A184" s="2" t="s">
        <v>379</v>
      </c>
      <c r="B184" s="2" t="s">
        <v>31</v>
      </c>
      <c r="C184" s="2" t="s">
        <v>380</v>
      </c>
      <c r="D184" s="2" t="s">
        <v>33</v>
      </c>
      <c r="E184" s="2" t="s">
        <v>34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162</v>
      </c>
      <c r="M184" s="2" t="s">
        <v>25</v>
      </c>
    </row>
    <row r="185" ht="14.25" customHeight="1">
      <c r="A185" s="2" t="s">
        <v>381</v>
      </c>
      <c r="B185" s="2" t="s">
        <v>14</v>
      </c>
      <c r="C185" s="2" t="s">
        <v>382</v>
      </c>
      <c r="D185" s="2" t="s">
        <v>49</v>
      </c>
      <c r="E185" s="2" t="s">
        <v>50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58</v>
      </c>
      <c r="M185" s="2" t="s">
        <v>38</v>
      </c>
    </row>
    <row r="186" ht="14.25" customHeight="1">
      <c r="A186" s="2" t="s">
        <v>383</v>
      </c>
      <c r="B186" s="2" t="s">
        <v>31</v>
      </c>
      <c r="C186" s="2" t="s">
        <v>384</v>
      </c>
      <c r="D186" s="2" t="s">
        <v>42</v>
      </c>
      <c r="E186" s="2" t="s">
        <v>43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102</v>
      </c>
      <c r="M186" s="2" t="s">
        <v>55</v>
      </c>
    </row>
    <row r="187" ht="14.25" customHeight="1">
      <c r="A187" s="2" t="s">
        <v>385</v>
      </c>
      <c r="B187" s="2" t="s">
        <v>40</v>
      </c>
      <c r="C187" s="2" t="s">
        <v>343</v>
      </c>
      <c r="D187" s="2" t="s">
        <v>42</v>
      </c>
      <c r="E187" s="2" t="s">
        <v>43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214</v>
      </c>
      <c r="M187" s="2" t="s">
        <v>19</v>
      </c>
    </row>
    <row r="188" ht="14.25" customHeight="1">
      <c r="A188" s="2" t="s">
        <v>386</v>
      </c>
      <c r="B188" s="2" t="s">
        <v>14</v>
      </c>
      <c r="C188" s="2" t="s">
        <v>387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102</v>
      </c>
      <c r="M188" s="2" t="s">
        <v>19</v>
      </c>
    </row>
    <row r="189" ht="14.25" customHeight="1">
      <c r="A189" s="2" t="s">
        <v>388</v>
      </c>
      <c r="B189" s="2" t="s">
        <v>27</v>
      </c>
      <c r="C189" s="2" t="s">
        <v>221</v>
      </c>
      <c r="D189" s="2" t="s">
        <v>16</v>
      </c>
      <c r="E189" s="2" t="s">
        <v>17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18</v>
      </c>
      <c r="M189" s="2" t="s">
        <v>25</v>
      </c>
    </row>
    <row r="190" ht="14.25" customHeight="1">
      <c r="A190" s="2" t="s">
        <v>389</v>
      </c>
      <c r="B190" s="2" t="s">
        <v>40</v>
      </c>
      <c r="C190" s="2" t="s">
        <v>229</v>
      </c>
      <c r="D190" s="2" t="s">
        <v>16</v>
      </c>
      <c r="E190" s="2" t="s">
        <v>17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82</v>
      </c>
      <c r="M190" s="2" t="s">
        <v>19</v>
      </c>
    </row>
    <row r="191" ht="14.25" customHeight="1">
      <c r="A191" s="2" t="s">
        <v>390</v>
      </c>
      <c r="B191" s="2" t="s">
        <v>27</v>
      </c>
      <c r="C191" s="2" t="s">
        <v>391</v>
      </c>
      <c r="D191" s="2" t="s">
        <v>22</v>
      </c>
      <c r="E191" s="2" t="s">
        <v>23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58</v>
      </c>
      <c r="M191" s="2" t="s">
        <v>19</v>
      </c>
    </row>
    <row r="192" ht="14.25" customHeight="1">
      <c r="A192" s="2" t="s">
        <v>392</v>
      </c>
      <c r="B192" s="2" t="s">
        <v>27</v>
      </c>
      <c r="C192" s="2" t="s">
        <v>357</v>
      </c>
      <c r="D192" s="2" t="s">
        <v>33</v>
      </c>
      <c r="E192" s="2" t="s">
        <v>34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71</v>
      </c>
      <c r="M192" s="2" t="s">
        <v>55</v>
      </c>
    </row>
    <row r="193" ht="14.25" customHeight="1">
      <c r="A193" s="2" t="s">
        <v>393</v>
      </c>
      <c r="B193" s="2" t="s">
        <v>31</v>
      </c>
      <c r="C193" s="2" t="s">
        <v>394</v>
      </c>
      <c r="D193" s="2" t="s">
        <v>69</v>
      </c>
      <c r="E193" s="2" t="s">
        <v>70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77</v>
      </c>
      <c r="M193" s="2" t="s">
        <v>19</v>
      </c>
    </row>
    <row r="194" ht="14.25" customHeight="1">
      <c r="A194" s="2" t="s">
        <v>395</v>
      </c>
      <c r="B194" s="2" t="s">
        <v>14</v>
      </c>
      <c r="C194" s="2" t="s">
        <v>396</v>
      </c>
      <c r="D194" s="2" t="s">
        <v>49</v>
      </c>
      <c r="E194" s="2" t="s">
        <v>50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178</v>
      </c>
      <c r="M194" s="2" t="s">
        <v>19</v>
      </c>
    </row>
    <row r="195" ht="14.25" customHeight="1">
      <c r="A195" s="2" t="s">
        <v>397</v>
      </c>
      <c r="B195" s="2" t="s">
        <v>27</v>
      </c>
      <c r="C195" s="2" t="s">
        <v>270</v>
      </c>
      <c r="D195" s="2" t="s">
        <v>33</v>
      </c>
      <c r="E195" s="2" t="s">
        <v>34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264</v>
      </c>
      <c r="M195" s="2" t="s">
        <v>25</v>
      </c>
    </row>
    <row r="196" ht="14.25" customHeight="1">
      <c r="A196" s="2" t="s">
        <v>398</v>
      </c>
      <c r="B196" s="2" t="s">
        <v>31</v>
      </c>
      <c r="C196" s="2" t="s">
        <v>399</v>
      </c>
      <c r="D196" s="2" t="s">
        <v>42</v>
      </c>
      <c r="E196" s="2" t="s">
        <v>43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285</v>
      </c>
      <c r="M196" s="2" t="s">
        <v>38</v>
      </c>
    </row>
    <row r="197" ht="14.25" customHeight="1">
      <c r="A197" s="2" t="s">
        <v>400</v>
      </c>
      <c r="B197" s="2" t="s">
        <v>31</v>
      </c>
      <c r="C197" s="2" t="s">
        <v>401</v>
      </c>
      <c r="D197" s="2" t="s">
        <v>22</v>
      </c>
      <c r="E197" s="2" t="s">
        <v>23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105</v>
      </c>
      <c r="M197" s="2" t="s">
        <v>38</v>
      </c>
    </row>
    <row r="198" ht="14.25" customHeight="1">
      <c r="A198" s="2" t="s">
        <v>402</v>
      </c>
      <c r="B198" s="2" t="s">
        <v>14</v>
      </c>
      <c r="C198" s="2" t="s">
        <v>336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77</v>
      </c>
      <c r="M198" s="2" t="s">
        <v>25</v>
      </c>
    </row>
    <row r="199" ht="14.25" customHeight="1">
      <c r="A199" s="2" t="s">
        <v>403</v>
      </c>
      <c r="B199" s="2" t="s">
        <v>14</v>
      </c>
      <c r="C199" s="2" t="s">
        <v>404</v>
      </c>
      <c r="D199" s="2" t="s">
        <v>49</v>
      </c>
      <c r="E199" s="2" t="s">
        <v>50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209</v>
      </c>
      <c r="M199" s="2" t="s">
        <v>25</v>
      </c>
    </row>
    <row r="200" ht="14.25" customHeight="1">
      <c r="A200" s="2" t="s">
        <v>405</v>
      </c>
      <c r="B200" s="2" t="s">
        <v>27</v>
      </c>
      <c r="C200" s="2" t="s">
        <v>118</v>
      </c>
      <c r="D200" s="2" t="s">
        <v>42</v>
      </c>
      <c r="E200" s="2" t="s">
        <v>43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77</v>
      </c>
      <c r="M200" s="2" t="s">
        <v>25</v>
      </c>
    </row>
    <row r="201" ht="14.25" customHeight="1">
      <c r="A201" s="2" t="s">
        <v>406</v>
      </c>
      <c r="B201" s="2" t="s">
        <v>40</v>
      </c>
      <c r="C201" s="2" t="s">
        <v>407</v>
      </c>
      <c r="D201" s="2" t="s">
        <v>16</v>
      </c>
      <c r="E201" s="2" t="s">
        <v>17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44</v>
      </c>
      <c r="M201" s="2" t="s">
        <v>19</v>
      </c>
    </row>
    <row r="202" ht="14.25" customHeight="1">
      <c r="A202" s="2" t="s">
        <v>408</v>
      </c>
      <c r="B202" s="2" t="s">
        <v>14</v>
      </c>
      <c r="C202" s="2" t="s">
        <v>409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74</v>
      </c>
      <c r="M202" s="2" t="s">
        <v>55</v>
      </c>
    </row>
    <row r="203" ht="14.25" customHeight="1">
      <c r="A203" s="2" t="s">
        <v>410</v>
      </c>
      <c r="B203" s="2" t="s">
        <v>40</v>
      </c>
      <c r="C203" s="2" t="s">
        <v>411</v>
      </c>
      <c r="D203" s="2" t="s">
        <v>49</v>
      </c>
      <c r="E203" s="2" t="s">
        <v>50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44</v>
      </c>
      <c r="M203" s="2" t="s">
        <v>25</v>
      </c>
    </row>
    <row r="204" ht="14.25" customHeight="1">
      <c r="A204" s="2" t="s">
        <v>412</v>
      </c>
      <c r="B204" s="2" t="s">
        <v>31</v>
      </c>
      <c r="C204" s="2" t="s">
        <v>413</v>
      </c>
      <c r="D204" s="2" t="s">
        <v>42</v>
      </c>
      <c r="E204" s="2" t="s">
        <v>43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44</v>
      </c>
      <c r="M204" s="2" t="s">
        <v>55</v>
      </c>
    </row>
    <row r="205" ht="14.25" customHeight="1">
      <c r="A205" s="2" t="s">
        <v>414</v>
      </c>
      <c r="B205" s="2" t="s">
        <v>31</v>
      </c>
      <c r="C205" s="2" t="s">
        <v>331</v>
      </c>
      <c r="D205" s="2" t="s">
        <v>42</v>
      </c>
      <c r="E205" s="2" t="s">
        <v>43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264</v>
      </c>
      <c r="M205" s="2" t="s">
        <v>55</v>
      </c>
    </row>
    <row r="206" ht="14.25" customHeight="1">
      <c r="A206" s="2" t="s">
        <v>415</v>
      </c>
      <c r="B206" s="2" t="s">
        <v>14</v>
      </c>
      <c r="C206" s="2" t="s">
        <v>302</v>
      </c>
      <c r="D206" s="2" t="s">
        <v>69</v>
      </c>
      <c r="E206" s="2" t="s">
        <v>70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162</v>
      </c>
      <c r="M206" s="2" t="s">
        <v>19</v>
      </c>
    </row>
    <row r="207" ht="14.25" customHeight="1">
      <c r="A207" s="2" t="s">
        <v>416</v>
      </c>
      <c r="B207" s="2" t="s">
        <v>14</v>
      </c>
      <c r="C207" s="2" t="s">
        <v>46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29</v>
      </c>
      <c r="M207" s="2" t="s">
        <v>25</v>
      </c>
    </row>
    <row r="208" ht="14.25" customHeight="1">
      <c r="A208" s="2" t="s">
        <v>417</v>
      </c>
      <c r="B208" s="2" t="s">
        <v>14</v>
      </c>
      <c r="C208" s="2" t="s">
        <v>418</v>
      </c>
      <c r="D208" s="2" t="s">
        <v>42</v>
      </c>
      <c r="E208" s="2" t="s">
        <v>43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162</v>
      </c>
      <c r="M208" s="2" t="s">
        <v>38</v>
      </c>
    </row>
    <row r="209" ht="14.25" customHeight="1">
      <c r="A209" s="2" t="s">
        <v>419</v>
      </c>
      <c r="B209" s="2" t="s">
        <v>27</v>
      </c>
      <c r="C209" s="2" t="s">
        <v>46</v>
      </c>
      <c r="D209" s="2" t="s">
        <v>69</v>
      </c>
      <c r="E209" s="2" t="s">
        <v>70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116</v>
      </c>
      <c r="M209" s="2" t="s">
        <v>19</v>
      </c>
    </row>
    <row r="210" ht="14.25" customHeight="1">
      <c r="A210" s="2" t="s">
        <v>420</v>
      </c>
      <c r="B210" s="2" t="s">
        <v>14</v>
      </c>
      <c r="C210" s="2" t="s">
        <v>421</v>
      </c>
      <c r="D210" s="2" t="s">
        <v>69</v>
      </c>
      <c r="E210" s="2" t="s">
        <v>70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87</v>
      </c>
      <c r="M210" s="2" t="s">
        <v>19</v>
      </c>
    </row>
    <row r="211" ht="14.25" customHeight="1">
      <c r="A211" s="2" t="s">
        <v>422</v>
      </c>
      <c r="B211" s="2" t="s">
        <v>27</v>
      </c>
      <c r="C211" s="2" t="s">
        <v>345</v>
      </c>
      <c r="D211" s="2" t="s">
        <v>49</v>
      </c>
      <c r="E211" s="2" t="s">
        <v>50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209</v>
      </c>
      <c r="M211" s="2" t="s">
        <v>19</v>
      </c>
    </row>
    <row r="212" ht="14.25" customHeight="1">
      <c r="A212" s="2" t="s">
        <v>423</v>
      </c>
      <c r="B212" s="2" t="s">
        <v>14</v>
      </c>
      <c r="C212" s="2" t="s">
        <v>424</v>
      </c>
      <c r="D212" s="2" t="s">
        <v>42</v>
      </c>
      <c r="E212" s="2" t="s">
        <v>43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209</v>
      </c>
      <c r="M212" s="2" t="s">
        <v>19</v>
      </c>
    </row>
    <row r="213" ht="14.25" customHeight="1">
      <c r="A213" s="2" t="s">
        <v>425</v>
      </c>
      <c r="B213" s="2" t="s">
        <v>27</v>
      </c>
      <c r="C213" s="2" t="s">
        <v>193</v>
      </c>
      <c r="D213" s="2" t="s">
        <v>69</v>
      </c>
      <c r="E213" s="2" t="s">
        <v>70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58</v>
      </c>
      <c r="M213" s="2" t="s">
        <v>55</v>
      </c>
    </row>
    <row r="214" ht="14.25" customHeight="1">
      <c r="A214" s="2" t="s">
        <v>426</v>
      </c>
      <c r="B214" s="2" t="s">
        <v>40</v>
      </c>
      <c r="C214" s="2" t="s">
        <v>427</v>
      </c>
      <c r="D214" s="2" t="s">
        <v>42</v>
      </c>
      <c r="E214" s="2" t="s">
        <v>43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18</v>
      </c>
      <c r="M214" s="2" t="s">
        <v>38</v>
      </c>
    </row>
    <row r="215" ht="14.25" customHeight="1">
      <c r="A215" s="2" t="s">
        <v>428</v>
      </c>
      <c r="B215" s="2" t="s">
        <v>31</v>
      </c>
      <c r="C215" s="2" t="s">
        <v>15</v>
      </c>
      <c r="D215" s="2" t="s">
        <v>49</v>
      </c>
      <c r="E215" s="2" t="s">
        <v>50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18</v>
      </c>
      <c r="M215" s="2" t="s">
        <v>19</v>
      </c>
    </row>
    <row r="216" ht="14.25" customHeight="1">
      <c r="A216" s="2" t="s">
        <v>429</v>
      </c>
      <c r="B216" s="2" t="s">
        <v>40</v>
      </c>
      <c r="C216" s="2" t="s">
        <v>430</v>
      </c>
      <c r="D216" s="2" t="s">
        <v>49</v>
      </c>
      <c r="E216" s="2" t="s">
        <v>50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102</v>
      </c>
      <c r="M216" s="2" t="s">
        <v>19</v>
      </c>
    </row>
    <row r="217" ht="14.25" customHeight="1">
      <c r="A217" s="2" t="s">
        <v>431</v>
      </c>
      <c r="B217" s="2" t="s">
        <v>27</v>
      </c>
      <c r="C217" s="2" t="s">
        <v>263</v>
      </c>
      <c r="D217" s="2" t="s">
        <v>33</v>
      </c>
      <c r="E217" s="2" t="s">
        <v>34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44</v>
      </c>
      <c r="M217" s="2" t="s">
        <v>19</v>
      </c>
    </row>
    <row r="218" ht="14.25" customHeight="1">
      <c r="A218" s="2" t="s">
        <v>432</v>
      </c>
      <c r="B218" s="2" t="s">
        <v>40</v>
      </c>
      <c r="C218" s="2" t="s">
        <v>357</v>
      </c>
      <c r="D218" s="2" t="s">
        <v>49</v>
      </c>
      <c r="E218" s="2" t="s">
        <v>50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144</v>
      </c>
      <c r="M218" s="2" t="s">
        <v>38</v>
      </c>
    </row>
    <row r="219" ht="14.25" customHeight="1">
      <c r="A219" s="2" t="s">
        <v>433</v>
      </c>
      <c r="B219" s="2" t="s">
        <v>40</v>
      </c>
      <c r="C219" s="2" t="s">
        <v>249</v>
      </c>
      <c r="D219" s="2" t="s">
        <v>42</v>
      </c>
      <c r="E219" s="2" t="s">
        <v>43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264</v>
      </c>
      <c r="M219" s="2" t="s">
        <v>19</v>
      </c>
    </row>
    <row r="220" ht="14.25" customHeight="1">
      <c r="A220" s="2" t="s">
        <v>434</v>
      </c>
      <c r="B220" s="2" t="s">
        <v>14</v>
      </c>
      <c r="C220" s="2" t="s">
        <v>170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37</v>
      </c>
      <c r="M220" s="2" t="s">
        <v>25</v>
      </c>
    </row>
    <row r="221" ht="14.25" customHeight="1">
      <c r="A221" s="2" t="s">
        <v>435</v>
      </c>
      <c r="B221" s="2" t="s">
        <v>31</v>
      </c>
      <c r="C221" s="2" t="s">
        <v>411</v>
      </c>
      <c r="D221" s="2" t="s">
        <v>33</v>
      </c>
      <c r="E221" s="2" t="s">
        <v>34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58</v>
      </c>
      <c r="M221" s="2" t="s">
        <v>25</v>
      </c>
    </row>
    <row r="222" ht="14.25" customHeight="1">
      <c r="A222" s="2" t="s">
        <v>436</v>
      </c>
      <c r="B222" s="2" t="s">
        <v>40</v>
      </c>
      <c r="C222" s="2" t="s">
        <v>251</v>
      </c>
      <c r="D222" s="2" t="s">
        <v>69</v>
      </c>
      <c r="E222" s="2" t="s">
        <v>70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105</v>
      </c>
      <c r="M222" s="2" t="s">
        <v>55</v>
      </c>
    </row>
    <row r="223" ht="14.25" customHeight="1">
      <c r="A223" s="2" t="s">
        <v>437</v>
      </c>
      <c r="B223" s="2" t="s">
        <v>40</v>
      </c>
      <c r="C223" s="2" t="s">
        <v>438</v>
      </c>
      <c r="D223" s="2" t="s">
        <v>16</v>
      </c>
      <c r="E223" s="2" t="s">
        <v>17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58</v>
      </c>
      <c r="M223" s="2" t="s">
        <v>19</v>
      </c>
    </row>
    <row r="224" ht="14.25" customHeight="1">
      <c r="A224" s="2" t="s">
        <v>439</v>
      </c>
      <c r="B224" s="2" t="s">
        <v>14</v>
      </c>
      <c r="C224" s="2" t="s">
        <v>355</v>
      </c>
      <c r="D224" s="2" t="s">
        <v>49</v>
      </c>
      <c r="E224" s="2" t="s">
        <v>50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58</v>
      </c>
      <c r="M224" s="2" t="s">
        <v>19</v>
      </c>
    </row>
    <row r="225" ht="14.25" customHeight="1">
      <c r="A225" s="2" t="s">
        <v>440</v>
      </c>
      <c r="B225" s="2" t="s">
        <v>40</v>
      </c>
      <c r="C225" s="2" t="s">
        <v>441</v>
      </c>
      <c r="D225" s="2" t="s">
        <v>49</v>
      </c>
      <c r="E225" s="2" t="s">
        <v>50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18</v>
      </c>
      <c r="M225" s="2" t="s">
        <v>38</v>
      </c>
    </row>
    <row r="226" ht="14.25" customHeight="1">
      <c r="A226" s="2" t="s">
        <v>442</v>
      </c>
      <c r="B226" s="2" t="s">
        <v>14</v>
      </c>
      <c r="C226" s="2" t="s">
        <v>370</v>
      </c>
      <c r="D226" s="2" t="s">
        <v>42</v>
      </c>
      <c r="E226" s="2" t="s">
        <v>43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127</v>
      </c>
      <c r="M226" s="2" t="s">
        <v>38</v>
      </c>
    </row>
    <row r="227" ht="14.25" customHeight="1">
      <c r="A227" s="2" t="s">
        <v>443</v>
      </c>
      <c r="B227" s="2" t="s">
        <v>31</v>
      </c>
      <c r="C227" s="2" t="s">
        <v>444</v>
      </c>
      <c r="D227" s="2" t="s">
        <v>42</v>
      </c>
      <c r="E227" s="2" t="s">
        <v>43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18</v>
      </c>
      <c r="M227" s="2" t="s">
        <v>25</v>
      </c>
    </row>
    <row r="228" ht="14.25" customHeight="1">
      <c r="A228" s="2" t="s">
        <v>445</v>
      </c>
      <c r="B228" s="2" t="s">
        <v>31</v>
      </c>
      <c r="C228" s="2" t="s">
        <v>446</v>
      </c>
      <c r="D228" s="2" t="s">
        <v>22</v>
      </c>
      <c r="E228" s="2" t="s">
        <v>23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116</v>
      </c>
      <c r="M228" s="2" t="s">
        <v>25</v>
      </c>
    </row>
    <row r="229" ht="14.25" customHeight="1">
      <c r="A229" s="2" t="s">
        <v>447</v>
      </c>
      <c r="B229" s="2" t="s">
        <v>31</v>
      </c>
      <c r="C229" s="2" t="s">
        <v>448</v>
      </c>
      <c r="D229" s="2" t="s">
        <v>33</v>
      </c>
      <c r="E229" s="2" t="s">
        <v>34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209</v>
      </c>
      <c r="M229" s="2" t="s">
        <v>55</v>
      </c>
    </row>
    <row r="230" ht="14.25" customHeight="1">
      <c r="A230" s="2" t="s">
        <v>449</v>
      </c>
      <c r="B230" s="2" t="s">
        <v>31</v>
      </c>
      <c r="C230" s="2" t="s">
        <v>150</v>
      </c>
      <c r="D230" s="2" t="s">
        <v>42</v>
      </c>
      <c r="E230" s="2" t="s">
        <v>43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44</v>
      </c>
      <c r="M230" s="2" t="s">
        <v>25</v>
      </c>
    </row>
    <row r="231" ht="14.25" customHeight="1">
      <c r="A231" s="2" t="s">
        <v>450</v>
      </c>
      <c r="B231" s="2" t="s">
        <v>40</v>
      </c>
      <c r="C231" s="2" t="s">
        <v>312</v>
      </c>
      <c r="D231" s="2" t="s">
        <v>16</v>
      </c>
      <c r="E231" s="2" t="s">
        <v>17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18</v>
      </c>
      <c r="M231" s="2" t="s">
        <v>19</v>
      </c>
    </row>
    <row r="232" ht="14.25" customHeight="1">
      <c r="A232" s="2" t="s">
        <v>451</v>
      </c>
      <c r="B232" s="2" t="s">
        <v>31</v>
      </c>
      <c r="C232" s="2" t="s">
        <v>427</v>
      </c>
      <c r="D232" s="2" t="s">
        <v>22</v>
      </c>
      <c r="E232" s="2" t="s">
        <v>23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77</v>
      </c>
      <c r="M232" s="2" t="s">
        <v>38</v>
      </c>
    </row>
    <row r="233" ht="14.25" customHeight="1">
      <c r="A233" s="2" t="s">
        <v>452</v>
      </c>
      <c r="B233" s="2" t="s">
        <v>14</v>
      </c>
      <c r="C233" s="2" t="s">
        <v>453</v>
      </c>
      <c r="D233" s="2" t="s">
        <v>33</v>
      </c>
      <c r="E233" s="2" t="s">
        <v>34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285</v>
      </c>
      <c r="M233" s="2" t="s">
        <v>55</v>
      </c>
    </row>
    <row r="234" ht="14.25" customHeight="1">
      <c r="A234" s="2" t="s">
        <v>454</v>
      </c>
      <c r="B234" s="2" t="s">
        <v>40</v>
      </c>
      <c r="C234" s="2" t="s">
        <v>131</v>
      </c>
      <c r="D234" s="2" t="s">
        <v>49</v>
      </c>
      <c r="E234" s="2" t="s">
        <v>50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178</v>
      </c>
      <c r="M234" s="2" t="s">
        <v>25</v>
      </c>
    </row>
    <row r="235" ht="14.25" customHeight="1">
      <c r="A235" s="2" t="s">
        <v>455</v>
      </c>
      <c r="B235" s="2" t="s">
        <v>40</v>
      </c>
      <c r="C235" s="2" t="s">
        <v>456</v>
      </c>
      <c r="D235" s="2" t="s">
        <v>22</v>
      </c>
      <c r="E235" s="2" t="s">
        <v>23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71</v>
      </c>
      <c r="M235" s="2" t="s">
        <v>25</v>
      </c>
    </row>
    <row r="236" ht="14.25" customHeight="1">
      <c r="A236" s="2" t="s">
        <v>457</v>
      </c>
      <c r="B236" s="2" t="s">
        <v>40</v>
      </c>
      <c r="C236" s="2" t="s">
        <v>387</v>
      </c>
      <c r="D236" s="2" t="s">
        <v>49</v>
      </c>
      <c r="E236" s="2" t="s">
        <v>50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87</v>
      </c>
      <c r="M236" s="2" t="s">
        <v>55</v>
      </c>
    </row>
    <row r="237" ht="14.25" customHeight="1">
      <c r="A237" s="2" t="s">
        <v>458</v>
      </c>
      <c r="B237" s="2" t="s">
        <v>40</v>
      </c>
      <c r="C237" s="2" t="s">
        <v>79</v>
      </c>
      <c r="D237" s="2" t="s">
        <v>22</v>
      </c>
      <c r="E237" s="2" t="s">
        <v>23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58</v>
      </c>
      <c r="M237" s="2" t="s">
        <v>19</v>
      </c>
    </row>
    <row r="238" ht="14.25" customHeight="1">
      <c r="A238" s="2" t="s">
        <v>459</v>
      </c>
      <c r="B238" s="2" t="s">
        <v>31</v>
      </c>
      <c r="C238" s="2" t="s">
        <v>336</v>
      </c>
      <c r="D238" s="2" t="s">
        <v>33</v>
      </c>
      <c r="E238" s="2" t="s">
        <v>34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102</v>
      </c>
      <c r="M238" s="2" t="s">
        <v>55</v>
      </c>
    </row>
    <row r="239" ht="14.25" customHeight="1">
      <c r="A239" s="2" t="s">
        <v>460</v>
      </c>
      <c r="B239" s="2" t="s">
        <v>14</v>
      </c>
      <c r="C239" s="2" t="s">
        <v>461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105</v>
      </c>
      <c r="M239" s="2" t="s">
        <v>19</v>
      </c>
    </row>
    <row r="240" ht="14.25" customHeight="1">
      <c r="A240" s="2" t="s">
        <v>462</v>
      </c>
      <c r="B240" s="2" t="s">
        <v>27</v>
      </c>
      <c r="C240" s="2" t="s">
        <v>143</v>
      </c>
      <c r="D240" s="2" t="s">
        <v>22</v>
      </c>
      <c r="E240" s="2" t="s">
        <v>23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58</v>
      </c>
      <c r="M240" s="2" t="s">
        <v>25</v>
      </c>
    </row>
    <row r="241" ht="14.25" customHeight="1">
      <c r="A241" s="2" t="s">
        <v>463</v>
      </c>
      <c r="B241" s="2" t="s">
        <v>14</v>
      </c>
      <c r="C241" s="2" t="s">
        <v>73</v>
      </c>
      <c r="D241" s="2" t="s">
        <v>42</v>
      </c>
      <c r="E241" s="2" t="s">
        <v>43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24</v>
      </c>
      <c r="M241" s="2" t="s">
        <v>38</v>
      </c>
    </row>
    <row r="242" ht="14.25" customHeight="1">
      <c r="A242" s="2" t="s">
        <v>464</v>
      </c>
      <c r="B242" s="2" t="s">
        <v>40</v>
      </c>
      <c r="C242" s="2" t="s">
        <v>465</v>
      </c>
      <c r="D242" s="2" t="s">
        <v>33</v>
      </c>
      <c r="E242" s="2" t="s">
        <v>34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66</v>
      </c>
      <c r="M242" s="2" t="s">
        <v>38</v>
      </c>
    </row>
    <row r="243" ht="14.25" customHeight="1">
      <c r="A243" s="2" t="s">
        <v>466</v>
      </c>
      <c r="B243" s="2" t="s">
        <v>40</v>
      </c>
      <c r="C243" s="2" t="s">
        <v>223</v>
      </c>
      <c r="D243" s="2" t="s">
        <v>16</v>
      </c>
      <c r="E243" s="2" t="s">
        <v>17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77</v>
      </c>
      <c r="M243" s="2" t="s">
        <v>55</v>
      </c>
    </row>
    <row r="244" ht="14.25" customHeight="1">
      <c r="A244" s="2" t="s">
        <v>467</v>
      </c>
      <c r="B244" s="2" t="s">
        <v>14</v>
      </c>
      <c r="C244" s="2" t="s">
        <v>468</v>
      </c>
      <c r="D244" s="2" t="s">
        <v>49</v>
      </c>
      <c r="E244" s="2" t="s">
        <v>50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58</v>
      </c>
      <c r="M244" s="2" t="s">
        <v>25</v>
      </c>
    </row>
    <row r="245" ht="14.25" customHeight="1">
      <c r="A245" s="2" t="s">
        <v>469</v>
      </c>
      <c r="B245" s="2" t="s">
        <v>27</v>
      </c>
      <c r="C245" s="2" t="s">
        <v>470</v>
      </c>
      <c r="D245" s="2" t="s">
        <v>69</v>
      </c>
      <c r="E245" s="2" t="s">
        <v>70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162</v>
      </c>
      <c r="M245" s="2" t="s">
        <v>19</v>
      </c>
    </row>
    <row r="246" ht="14.25" customHeight="1">
      <c r="A246" s="2" t="s">
        <v>471</v>
      </c>
      <c r="B246" s="2" t="s">
        <v>40</v>
      </c>
      <c r="C246" s="2" t="s">
        <v>472</v>
      </c>
      <c r="D246" s="2" t="s">
        <v>16</v>
      </c>
      <c r="E246" s="2" t="s">
        <v>17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24</v>
      </c>
      <c r="M246" s="2" t="s">
        <v>25</v>
      </c>
    </row>
    <row r="247" ht="14.25" customHeight="1">
      <c r="A247" s="2" t="s">
        <v>473</v>
      </c>
      <c r="B247" s="2" t="s">
        <v>40</v>
      </c>
      <c r="C247" s="2" t="s">
        <v>474</v>
      </c>
      <c r="D247" s="2" t="s">
        <v>49</v>
      </c>
      <c r="E247" s="2" t="s">
        <v>50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102</v>
      </c>
      <c r="M247" s="2" t="s">
        <v>25</v>
      </c>
    </row>
    <row r="248" ht="14.25" customHeight="1">
      <c r="A248" s="2" t="s">
        <v>475</v>
      </c>
      <c r="B248" s="2" t="s">
        <v>40</v>
      </c>
      <c r="C248" s="2" t="s">
        <v>476</v>
      </c>
      <c r="D248" s="2" t="s">
        <v>16</v>
      </c>
      <c r="E248" s="2" t="s">
        <v>17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105</v>
      </c>
      <c r="M248" s="2" t="s">
        <v>55</v>
      </c>
    </row>
    <row r="249" ht="14.25" customHeight="1">
      <c r="A249" s="2" t="s">
        <v>477</v>
      </c>
      <c r="B249" s="2" t="s">
        <v>40</v>
      </c>
      <c r="C249" s="2" t="s">
        <v>57</v>
      </c>
      <c r="D249" s="2" t="s">
        <v>33</v>
      </c>
      <c r="E249" s="2" t="s">
        <v>34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18</v>
      </c>
      <c r="M249" s="2" t="s">
        <v>38</v>
      </c>
    </row>
    <row r="250" ht="14.25" customHeight="1">
      <c r="A250" s="2" t="s">
        <v>478</v>
      </c>
      <c r="B250" s="2" t="s">
        <v>14</v>
      </c>
      <c r="C250" s="2" t="s">
        <v>424</v>
      </c>
      <c r="D250" s="2" t="s">
        <v>49</v>
      </c>
      <c r="E250" s="2" t="s">
        <v>50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58</v>
      </c>
      <c r="M250" s="2" t="s">
        <v>25</v>
      </c>
    </row>
    <row r="251" ht="14.25" customHeight="1">
      <c r="A251" s="2" t="s">
        <v>479</v>
      </c>
      <c r="B251" s="2" t="s">
        <v>40</v>
      </c>
      <c r="C251" s="2" t="s">
        <v>168</v>
      </c>
      <c r="D251" s="2" t="s">
        <v>16</v>
      </c>
      <c r="E251" s="2" t="s">
        <v>17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178</v>
      </c>
      <c r="M251" s="2" t="s">
        <v>19</v>
      </c>
    </row>
    <row r="252" ht="14.25" customHeight="1">
      <c r="A252" s="2" t="s">
        <v>480</v>
      </c>
      <c r="B252" s="2" t="s">
        <v>31</v>
      </c>
      <c r="C252" s="2" t="s">
        <v>481</v>
      </c>
      <c r="D252" s="2" t="s">
        <v>42</v>
      </c>
      <c r="E252" s="2" t="s">
        <v>43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144</v>
      </c>
      <c r="M252" s="2" t="s">
        <v>38</v>
      </c>
    </row>
    <row r="253" ht="14.25" customHeight="1">
      <c r="A253" s="2" t="s">
        <v>482</v>
      </c>
      <c r="B253" s="2" t="s">
        <v>40</v>
      </c>
      <c r="C253" s="2" t="s">
        <v>359</v>
      </c>
      <c r="D253" s="2" t="s">
        <v>42</v>
      </c>
      <c r="E253" s="2" t="s">
        <v>43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61</v>
      </c>
      <c r="M253" s="2" t="s">
        <v>19</v>
      </c>
    </row>
    <row r="254" ht="14.25" customHeight="1">
      <c r="A254" s="2" t="s">
        <v>483</v>
      </c>
      <c r="B254" s="2" t="s">
        <v>14</v>
      </c>
      <c r="C254" s="2" t="s">
        <v>484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162</v>
      </c>
      <c r="M254" s="2" t="s">
        <v>19</v>
      </c>
    </row>
    <row r="255" ht="14.25" customHeight="1">
      <c r="A255" s="2" t="s">
        <v>485</v>
      </c>
      <c r="B255" s="2" t="s">
        <v>14</v>
      </c>
      <c r="C255" s="2" t="s">
        <v>486</v>
      </c>
      <c r="D255" s="2" t="s">
        <v>49</v>
      </c>
      <c r="E255" s="2" t="s">
        <v>50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178</v>
      </c>
      <c r="M255" s="2" t="s">
        <v>55</v>
      </c>
    </row>
    <row r="256" ht="14.25" customHeight="1">
      <c r="A256" s="2" t="s">
        <v>487</v>
      </c>
      <c r="B256" s="2" t="s">
        <v>40</v>
      </c>
      <c r="C256" s="2" t="s">
        <v>21</v>
      </c>
      <c r="D256" s="2" t="s">
        <v>33</v>
      </c>
      <c r="E256" s="2" t="s">
        <v>34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162</v>
      </c>
      <c r="M256" s="2" t="s">
        <v>19</v>
      </c>
    </row>
    <row r="257" ht="14.25" customHeight="1">
      <c r="A257" s="2" t="s">
        <v>488</v>
      </c>
      <c r="B257" s="2" t="s">
        <v>27</v>
      </c>
      <c r="C257" s="2" t="s">
        <v>247</v>
      </c>
      <c r="D257" s="2" t="s">
        <v>42</v>
      </c>
      <c r="E257" s="2" t="s">
        <v>43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127</v>
      </c>
      <c r="M257" s="2" t="s">
        <v>55</v>
      </c>
    </row>
    <row r="258" ht="14.25" customHeight="1">
      <c r="A258" s="2" t="s">
        <v>489</v>
      </c>
      <c r="B258" s="2" t="s">
        <v>40</v>
      </c>
      <c r="C258" s="2" t="s">
        <v>288</v>
      </c>
      <c r="D258" s="2" t="s">
        <v>49</v>
      </c>
      <c r="E258" s="2" t="s">
        <v>50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264</v>
      </c>
      <c r="M258" s="2" t="s">
        <v>55</v>
      </c>
    </row>
    <row r="259" ht="14.25" customHeight="1">
      <c r="A259" s="2" t="s">
        <v>490</v>
      </c>
      <c r="B259" s="2" t="s">
        <v>31</v>
      </c>
      <c r="C259" s="2" t="s">
        <v>491</v>
      </c>
      <c r="D259" s="2" t="s">
        <v>33</v>
      </c>
      <c r="E259" s="2" t="s">
        <v>34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58</v>
      </c>
      <c r="M259" s="2" t="s">
        <v>25</v>
      </c>
    </row>
    <row r="260" ht="14.25" customHeight="1">
      <c r="A260" s="2" t="s">
        <v>492</v>
      </c>
      <c r="B260" s="2" t="s">
        <v>40</v>
      </c>
      <c r="C260" s="2" t="s">
        <v>244</v>
      </c>
      <c r="D260" s="2" t="s">
        <v>22</v>
      </c>
      <c r="E260" s="2" t="s">
        <v>23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127</v>
      </c>
      <c r="M260" s="2" t="s">
        <v>55</v>
      </c>
    </row>
    <row r="261" ht="14.25" customHeight="1">
      <c r="A261" s="2" t="s">
        <v>493</v>
      </c>
      <c r="B261" s="2" t="s">
        <v>31</v>
      </c>
      <c r="C261" s="2" t="s">
        <v>494</v>
      </c>
      <c r="D261" s="2" t="s">
        <v>33</v>
      </c>
      <c r="E261" s="2" t="s">
        <v>34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24</v>
      </c>
      <c r="M261" s="2" t="s">
        <v>38</v>
      </c>
    </row>
    <row r="262" ht="14.25" customHeight="1">
      <c r="A262" s="2" t="s">
        <v>495</v>
      </c>
      <c r="B262" s="2" t="s">
        <v>31</v>
      </c>
      <c r="C262" s="2" t="s">
        <v>496</v>
      </c>
      <c r="D262" s="2" t="s">
        <v>49</v>
      </c>
      <c r="E262" s="2" t="s">
        <v>50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18</v>
      </c>
      <c r="M262" s="2" t="s">
        <v>25</v>
      </c>
    </row>
    <row r="263" ht="14.25" customHeight="1">
      <c r="A263" s="2" t="s">
        <v>497</v>
      </c>
      <c r="B263" s="2" t="s">
        <v>27</v>
      </c>
      <c r="C263" s="2" t="s">
        <v>465</v>
      </c>
      <c r="D263" s="2" t="s">
        <v>49</v>
      </c>
      <c r="E263" s="2" t="s">
        <v>50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82</v>
      </c>
      <c r="M263" s="2" t="s">
        <v>38</v>
      </c>
    </row>
    <row r="264" ht="14.25" customHeight="1">
      <c r="A264" s="2" t="s">
        <v>498</v>
      </c>
      <c r="B264" s="2" t="s">
        <v>31</v>
      </c>
      <c r="C264" s="2" t="s">
        <v>499</v>
      </c>
      <c r="D264" s="2" t="s">
        <v>16</v>
      </c>
      <c r="E264" s="2" t="s">
        <v>17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44</v>
      </c>
      <c r="M264" s="2" t="s">
        <v>19</v>
      </c>
    </row>
    <row r="265" ht="14.25" customHeight="1">
      <c r="A265" s="2" t="s">
        <v>500</v>
      </c>
      <c r="B265" s="2" t="s">
        <v>14</v>
      </c>
      <c r="C265" s="2" t="s">
        <v>501</v>
      </c>
      <c r="D265" s="2" t="s">
        <v>49</v>
      </c>
      <c r="E265" s="2" t="s">
        <v>50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44</v>
      </c>
      <c r="M265" s="2" t="s">
        <v>55</v>
      </c>
    </row>
    <row r="266" ht="14.25" customHeight="1">
      <c r="A266" s="2" t="s">
        <v>502</v>
      </c>
      <c r="B266" s="2" t="s">
        <v>14</v>
      </c>
      <c r="C266" s="2" t="s">
        <v>503</v>
      </c>
      <c r="D266" s="2" t="s">
        <v>42</v>
      </c>
      <c r="E266" s="2" t="s">
        <v>43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61</v>
      </c>
      <c r="M266" s="2" t="s">
        <v>19</v>
      </c>
    </row>
    <row r="267" ht="14.25" customHeight="1">
      <c r="A267" s="2" t="s">
        <v>504</v>
      </c>
      <c r="B267" s="2" t="s">
        <v>40</v>
      </c>
      <c r="C267" s="2" t="s">
        <v>126</v>
      </c>
      <c r="D267" s="2" t="s">
        <v>33</v>
      </c>
      <c r="E267" s="2" t="s">
        <v>34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82</v>
      </c>
      <c r="M267" s="2" t="s">
        <v>38</v>
      </c>
    </row>
    <row r="268" ht="14.25" customHeight="1">
      <c r="A268" s="2" t="s">
        <v>505</v>
      </c>
      <c r="B268" s="2" t="s">
        <v>14</v>
      </c>
      <c r="C268" s="2" t="s">
        <v>391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58</v>
      </c>
      <c r="M268" s="2" t="s">
        <v>55</v>
      </c>
    </row>
    <row r="269" ht="14.25" customHeight="1">
      <c r="A269" s="2" t="s">
        <v>506</v>
      </c>
      <c r="B269" s="2" t="s">
        <v>31</v>
      </c>
      <c r="C269" s="2" t="s">
        <v>507</v>
      </c>
      <c r="D269" s="2" t="s">
        <v>16</v>
      </c>
      <c r="E269" s="2" t="s">
        <v>17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4.25" customHeight="1">
      <c r="A270" s="2" t="s">
        <v>508</v>
      </c>
      <c r="B270" s="2" t="s">
        <v>31</v>
      </c>
      <c r="C270" s="2" t="s">
        <v>509</v>
      </c>
      <c r="D270" s="2" t="s">
        <v>69</v>
      </c>
      <c r="E270" s="2" t="s">
        <v>70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58</v>
      </c>
      <c r="M270" s="2" t="s">
        <v>25</v>
      </c>
    </row>
    <row r="271" ht="14.25" customHeight="1">
      <c r="A271" s="2" t="s">
        <v>510</v>
      </c>
      <c r="B271" s="2" t="s">
        <v>27</v>
      </c>
      <c r="C271" s="2" t="s">
        <v>409</v>
      </c>
      <c r="D271" s="2" t="s">
        <v>16</v>
      </c>
      <c r="E271" s="2" t="s">
        <v>17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77</v>
      </c>
      <c r="M271" s="2" t="s">
        <v>38</v>
      </c>
    </row>
    <row r="272" ht="14.25" customHeight="1">
      <c r="A272" s="2" t="s">
        <v>511</v>
      </c>
      <c r="B272" s="2" t="s">
        <v>31</v>
      </c>
      <c r="C272" s="2" t="s">
        <v>512</v>
      </c>
      <c r="D272" s="2" t="s">
        <v>69</v>
      </c>
      <c r="E272" s="2" t="s">
        <v>70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77</v>
      </c>
      <c r="M272" s="2" t="s">
        <v>38</v>
      </c>
    </row>
    <row r="273" ht="14.25" customHeight="1">
      <c r="A273" s="2" t="s">
        <v>513</v>
      </c>
      <c r="B273" s="2" t="s">
        <v>31</v>
      </c>
      <c r="C273" s="2" t="s">
        <v>481</v>
      </c>
      <c r="D273" s="2" t="s">
        <v>22</v>
      </c>
      <c r="E273" s="2" t="s">
        <v>23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18</v>
      </c>
      <c r="M273" s="2" t="s">
        <v>25</v>
      </c>
    </row>
    <row r="274" ht="14.25" customHeight="1">
      <c r="A274" s="2" t="s">
        <v>514</v>
      </c>
      <c r="B274" s="2" t="s">
        <v>27</v>
      </c>
      <c r="C274" s="2" t="s">
        <v>515</v>
      </c>
      <c r="D274" s="2" t="s">
        <v>33</v>
      </c>
      <c r="E274" s="2" t="s">
        <v>34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44</v>
      </c>
      <c r="M274" s="2" t="s">
        <v>25</v>
      </c>
    </row>
    <row r="275" ht="14.25" customHeight="1">
      <c r="A275" s="2" t="s">
        <v>516</v>
      </c>
      <c r="B275" s="2" t="s">
        <v>14</v>
      </c>
      <c r="C275" s="2" t="s">
        <v>331</v>
      </c>
      <c r="D275" s="2" t="s">
        <v>42</v>
      </c>
      <c r="E275" s="2" t="s">
        <v>43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214</v>
      </c>
      <c r="M275" s="2" t="s">
        <v>25</v>
      </c>
    </row>
    <row r="276" ht="14.25" customHeight="1">
      <c r="A276" s="2" t="s">
        <v>517</v>
      </c>
      <c r="B276" s="2" t="s">
        <v>40</v>
      </c>
      <c r="C276" s="2" t="s">
        <v>491</v>
      </c>
      <c r="D276" s="2" t="s">
        <v>16</v>
      </c>
      <c r="E276" s="2" t="s">
        <v>17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71</v>
      </c>
      <c r="M276" s="2" t="s">
        <v>55</v>
      </c>
    </row>
    <row r="277" ht="14.25" customHeight="1">
      <c r="A277" s="2" t="s">
        <v>518</v>
      </c>
      <c r="B277" s="2" t="s">
        <v>14</v>
      </c>
      <c r="C277" s="2" t="s">
        <v>519</v>
      </c>
      <c r="D277" s="2" t="s">
        <v>42</v>
      </c>
      <c r="E277" s="2" t="s">
        <v>43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24</v>
      </c>
      <c r="M277" s="2" t="s">
        <v>25</v>
      </c>
    </row>
    <row r="278" ht="14.25" customHeight="1">
      <c r="A278" s="2" t="s">
        <v>520</v>
      </c>
      <c r="B278" s="2" t="s">
        <v>40</v>
      </c>
      <c r="C278" s="2" t="s">
        <v>288</v>
      </c>
      <c r="D278" s="2" t="s">
        <v>49</v>
      </c>
      <c r="E278" s="2" t="s">
        <v>50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209</v>
      </c>
      <c r="M278" s="2" t="s">
        <v>55</v>
      </c>
    </row>
    <row r="279" ht="14.25" customHeight="1">
      <c r="A279" s="2" t="s">
        <v>521</v>
      </c>
      <c r="B279" s="2" t="s">
        <v>14</v>
      </c>
      <c r="C279" s="2" t="s">
        <v>522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44</v>
      </c>
      <c r="M279" s="2" t="s">
        <v>19</v>
      </c>
    </row>
    <row r="280" ht="14.25" customHeight="1">
      <c r="A280" s="2" t="s">
        <v>523</v>
      </c>
      <c r="B280" s="2" t="s">
        <v>27</v>
      </c>
      <c r="C280" s="2" t="s">
        <v>191</v>
      </c>
      <c r="D280" s="2" t="s">
        <v>49</v>
      </c>
      <c r="E280" s="2" t="s">
        <v>50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44</v>
      </c>
      <c r="M280" s="2" t="s">
        <v>55</v>
      </c>
    </row>
    <row r="281" ht="14.25" customHeight="1">
      <c r="A281" s="2" t="s">
        <v>524</v>
      </c>
      <c r="B281" s="2" t="s">
        <v>27</v>
      </c>
      <c r="C281" s="2" t="s">
        <v>164</v>
      </c>
      <c r="D281" s="2" t="s">
        <v>69</v>
      </c>
      <c r="E281" s="2" t="s">
        <v>70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58</v>
      </c>
      <c r="M281" s="2" t="s">
        <v>55</v>
      </c>
    </row>
    <row r="282" ht="14.25" customHeight="1">
      <c r="A282" s="2" t="s">
        <v>525</v>
      </c>
      <c r="B282" s="2" t="s">
        <v>27</v>
      </c>
      <c r="C282" s="2" t="s">
        <v>526</v>
      </c>
      <c r="D282" s="2" t="s">
        <v>49</v>
      </c>
      <c r="E282" s="2" t="s">
        <v>50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146</v>
      </c>
      <c r="M282" s="2" t="s">
        <v>25</v>
      </c>
    </row>
    <row r="283" ht="14.25" customHeight="1">
      <c r="A283" s="2" t="s">
        <v>527</v>
      </c>
      <c r="B283" s="2" t="s">
        <v>31</v>
      </c>
      <c r="C283" s="2" t="s">
        <v>528</v>
      </c>
      <c r="D283" s="2" t="s">
        <v>69</v>
      </c>
      <c r="E283" s="2" t="s">
        <v>70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18</v>
      </c>
      <c r="M283" s="2" t="s">
        <v>19</v>
      </c>
    </row>
    <row r="284" ht="14.25" customHeight="1">
      <c r="A284" s="2" t="s">
        <v>529</v>
      </c>
      <c r="B284" s="2" t="s">
        <v>14</v>
      </c>
      <c r="C284" s="2" t="s">
        <v>530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105</v>
      </c>
      <c r="M284" s="2" t="s">
        <v>38</v>
      </c>
    </row>
    <row r="285" ht="14.25" customHeight="1">
      <c r="A285" s="2" t="s">
        <v>531</v>
      </c>
      <c r="B285" s="2" t="s">
        <v>14</v>
      </c>
      <c r="C285" s="2" t="s">
        <v>99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77</v>
      </c>
      <c r="M285" s="2" t="s">
        <v>25</v>
      </c>
    </row>
    <row r="286" ht="14.25" customHeight="1">
      <c r="A286" s="2" t="s">
        <v>532</v>
      </c>
      <c r="B286" s="2" t="s">
        <v>27</v>
      </c>
      <c r="C286" s="2" t="s">
        <v>424</v>
      </c>
      <c r="D286" s="2" t="s">
        <v>22</v>
      </c>
      <c r="E286" s="2" t="s">
        <v>23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264</v>
      </c>
      <c r="M286" s="2" t="s">
        <v>19</v>
      </c>
    </row>
    <row r="287" ht="14.25" customHeight="1">
      <c r="A287" s="2" t="s">
        <v>533</v>
      </c>
      <c r="B287" s="2" t="s">
        <v>27</v>
      </c>
      <c r="C287" s="2" t="s">
        <v>534</v>
      </c>
      <c r="D287" s="2" t="s">
        <v>69</v>
      </c>
      <c r="E287" s="2" t="s">
        <v>70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29</v>
      </c>
      <c r="M287" s="2" t="s">
        <v>25</v>
      </c>
    </row>
    <row r="288" ht="14.25" customHeight="1">
      <c r="A288" s="2" t="s">
        <v>535</v>
      </c>
      <c r="B288" s="2" t="s">
        <v>31</v>
      </c>
      <c r="C288" s="2" t="s">
        <v>399</v>
      </c>
      <c r="D288" s="2" t="s">
        <v>16</v>
      </c>
      <c r="E288" s="2" t="s">
        <v>17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285</v>
      </c>
      <c r="M288" s="2" t="s">
        <v>38</v>
      </c>
    </row>
    <row r="289" ht="14.25" customHeight="1">
      <c r="A289" s="2" t="s">
        <v>536</v>
      </c>
      <c r="B289" s="2" t="s">
        <v>27</v>
      </c>
      <c r="C289" s="2" t="s">
        <v>537</v>
      </c>
      <c r="D289" s="2" t="s">
        <v>42</v>
      </c>
      <c r="E289" s="2" t="s">
        <v>43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71</v>
      </c>
      <c r="M289" s="2" t="s">
        <v>38</v>
      </c>
    </row>
    <row r="290" ht="14.25" customHeight="1">
      <c r="A290" s="2" t="s">
        <v>538</v>
      </c>
      <c r="B290" s="2" t="s">
        <v>40</v>
      </c>
      <c r="C290" s="2" t="s">
        <v>304</v>
      </c>
      <c r="D290" s="2" t="s">
        <v>42</v>
      </c>
      <c r="E290" s="2" t="s">
        <v>43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214</v>
      </c>
      <c r="M290" s="2" t="s">
        <v>25</v>
      </c>
    </row>
    <row r="291" ht="14.25" customHeight="1">
      <c r="A291" s="2" t="s">
        <v>539</v>
      </c>
      <c r="B291" s="2" t="s">
        <v>31</v>
      </c>
      <c r="C291" s="2" t="s">
        <v>540</v>
      </c>
      <c r="D291" s="2" t="s">
        <v>42</v>
      </c>
      <c r="E291" s="2" t="s">
        <v>43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44</v>
      </c>
      <c r="M291" s="2" t="s">
        <v>38</v>
      </c>
    </row>
    <row r="292" ht="14.25" customHeight="1">
      <c r="A292" s="2" t="s">
        <v>541</v>
      </c>
      <c r="B292" s="2" t="s">
        <v>40</v>
      </c>
      <c r="C292" s="2" t="s">
        <v>91</v>
      </c>
      <c r="D292" s="2" t="s">
        <v>69</v>
      </c>
      <c r="E292" s="2" t="s">
        <v>70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24</v>
      </c>
      <c r="M292" s="2" t="s">
        <v>25</v>
      </c>
    </row>
    <row r="293" ht="14.25" customHeight="1">
      <c r="A293" s="2" t="s">
        <v>542</v>
      </c>
      <c r="B293" s="2" t="s">
        <v>40</v>
      </c>
      <c r="C293" s="2" t="s">
        <v>543</v>
      </c>
      <c r="D293" s="2" t="s">
        <v>22</v>
      </c>
      <c r="E293" s="2" t="s">
        <v>23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18</v>
      </c>
      <c r="M293" s="2" t="s">
        <v>25</v>
      </c>
    </row>
    <row r="294" ht="14.25" customHeight="1">
      <c r="A294" s="2" t="s">
        <v>544</v>
      </c>
      <c r="B294" s="2" t="s">
        <v>40</v>
      </c>
      <c r="C294" s="2" t="s">
        <v>545</v>
      </c>
      <c r="D294" s="2" t="s">
        <v>22</v>
      </c>
      <c r="E294" s="2" t="s">
        <v>23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58</v>
      </c>
      <c r="M294" s="2" t="s">
        <v>38</v>
      </c>
    </row>
    <row r="295" ht="14.25" customHeight="1">
      <c r="A295" s="2" t="s">
        <v>546</v>
      </c>
      <c r="B295" s="2" t="s">
        <v>40</v>
      </c>
      <c r="C295" s="2" t="s">
        <v>547</v>
      </c>
      <c r="D295" s="2" t="s">
        <v>42</v>
      </c>
      <c r="E295" s="2" t="s">
        <v>43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105</v>
      </c>
      <c r="M295" s="2" t="s">
        <v>55</v>
      </c>
    </row>
    <row r="296" ht="14.25" customHeight="1">
      <c r="A296" s="2" t="s">
        <v>548</v>
      </c>
      <c r="B296" s="2" t="s">
        <v>14</v>
      </c>
      <c r="C296" s="2" t="s">
        <v>430</v>
      </c>
      <c r="D296" s="2" t="s">
        <v>49</v>
      </c>
      <c r="E296" s="2" t="s">
        <v>50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66</v>
      </c>
      <c r="M296" s="2" t="s">
        <v>38</v>
      </c>
    </row>
    <row r="297" ht="14.25" customHeight="1">
      <c r="A297" s="2" t="s">
        <v>549</v>
      </c>
      <c r="B297" s="2" t="s">
        <v>14</v>
      </c>
      <c r="C297" s="2" t="s">
        <v>550</v>
      </c>
      <c r="D297" s="2" t="s">
        <v>69</v>
      </c>
      <c r="E297" s="2" t="s">
        <v>70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71</v>
      </c>
      <c r="M297" s="2" t="s">
        <v>19</v>
      </c>
    </row>
    <row r="298" ht="14.25" customHeight="1">
      <c r="A298" s="2" t="s">
        <v>551</v>
      </c>
      <c r="B298" s="2" t="s">
        <v>14</v>
      </c>
      <c r="C298" s="2" t="s">
        <v>552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87</v>
      </c>
      <c r="M298" s="2" t="s">
        <v>19</v>
      </c>
    </row>
    <row r="299" ht="14.25" customHeight="1">
      <c r="A299" s="2" t="s">
        <v>553</v>
      </c>
      <c r="B299" s="2" t="s">
        <v>40</v>
      </c>
      <c r="C299" s="2" t="s">
        <v>68</v>
      </c>
      <c r="D299" s="2" t="s">
        <v>49</v>
      </c>
      <c r="E299" s="2" t="s">
        <v>50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18</v>
      </c>
      <c r="M299" s="2" t="s">
        <v>25</v>
      </c>
    </row>
    <row r="300" ht="14.25" customHeight="1">
      <c r="A300" s="2" t="s">
        <v>554</v>
      </c>
      <c r="B300" s="2" t="s">
        <v>40</v>
      </c>
      <c r="C300" s="2" t="s">
        <v>73</v>
      </c>
      <c r="D300" s="2" t="s">
        <v>49</v>
      </c>
      <c r="E300" s="2" t="s">
        <v>50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82</v>
      </c>
      <c r="M300" s="2" t="s">
        <v>25</v>
      </c>
    </row>
    <row r="301" ht="14.25" customHeight="1">
      <c r="A301" s="2" t="s">
        <v>555</v>
      </c>
      <c r="B301" s="2" t="s">
        <v>14</v>
      </c>
      <c r="C301" s="2" t="s">
        <v>314</v>
      </c>
      <c r="D301" s="2" t="s">
        <v>42</v>
      </c>
      <c r="E301" s="2" t="s">
        <v>43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24</v>
      </c>
      <c r="M301" s="2" t="s">
        <v>19</v>
      </c>
    </row>
    <row r="302" ht="14.25" customHeight="1">
      <c r="H302" s="2">
        <f>SUM(H2:H6)</f>
        <v>1448</v>
      </c>
      <c r="M302" s="3"/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">
    <filterColumn colId="12">
      <customFilters>
        <customFilter val="EndOfSeasonSale"/>
      </customFilters>
    </filterColumn>
    <sortState ref="A1:M1">
      <sortCondition descending="1" ref="M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F1" s="4" t="s">
        <v>560</v>
      </c>
      <c r="G1" s="5" t="s">
        <v>561</v>
      </c>
      <c r="H1" s="6"/>
    </row>
    <row r="2">
      <c r="F2" s="7">
        <v>180000.0</v>
      </c>
      <c r="G2" s="2">
        <f t="shared" ref="G2:G5" si="1"> D2 / F2</f>
        <v>0.06875555556</v>
      </c>
      <c r="K2" s="6"/>
    </row>
    <row r="3">
      <c r="F3" s="7">
        <v>160000.0</v>
      </c>
      <c r="G3" s="8">
        <f t="shared" si="1"/>
        <v>0.06994375</v>
      </c>
      <c r="H3" s="3" t="s">
        <v>562</v>
      </c>
    </row>
    <row r="4">
      <c r="F4" s="7">
        <v>220000.0</v>
      </c>
      <c r="G4" s="2">
        <f t="shared" si="1"/>
        <v>0.05665454545</v>
      </c>
    </row>
    <row r="5">
      <c r="F5" s="7">
        <v>200000.0</v>
      </c>
      <c r="G5" s="2">
        <f t="shared" si="1"/>
        <v>0.046675</v>
      </c>
    </row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43"/>
    <col customWidth="1" min="3" max="26" width="8.71"/>
  </cols>
  <sheetData>
    <row r="1" ht="14.25" customHeight="1">
      <c r="A1" s="2" t="s">
        <v>564</v>
      </c>
      <c r="B1" s="2" t="s">
        <v>1</v>
      </c>
      <c r="C1" s="2" t="s">
        <v>565</v>
      </c>
      <c r="D1" s="2" t="s">
        <v>566</v>
      </c>
      <c r="E1" s="2" t="s">
        <v>567</v>
      </c>
      <c r="F1" s="2" t="s">
        <v>568</v>
      </c>
      <c r="G1" s="2" t="s">
        <v>569</v>
      </c>
      <c r="H1" s="9" t="s">
        <v>570</v>
      </c>
    </row>
    <row r="2" ht="14.25" customHeight="1">
      <c r="A2" s="10">
        <v>45446.0</v>
      </c>
      <c r="B2" s="2" t="s">
        <v>31</v>
      </c>
      <c r="C2" s="2">
        <v>1135.0</v>
      </c>
      <c r="D2" s="2">
        <v>88.0</v>
      </c>
      <c r="E2" s="2">
        <v>344084.0</v>
      </c>
      <c r="F2" s="2">
        <v>8.06</v>
      </c>
      <c r="G2" s="2">
        <v>5904.0</v>
      </c>
      <c r="H2" s="2">
        <f t="shared" ref="H2:H201" si="1"> C2 - D2
</f>
        <v>1047</v>
      </c>
    </row>
    <row r="3" ht="14.25" customHeight="1">
      <c r="A3" s="10">
        <v>45446.0</v>
      </c>
      <c r="B3" s="2" t="s">
        <v>40</v>
      </c>
      <c r="C3" s="2">
        <v>1312.0</v>
      </c>
      <c r="D3" s="2">
        <v>310.0</v>
      </c>
      <c r="E3" s="2">
        <v>42654.0</v>
      </c>
      <c r="F3" s="2">
        <v>4.98</v>
      </c>
      <c r="G3" s="2">
        <v>9566.0</v>
      </c>
      <c r="H3" s="2">
        <f t="shared" si="1"/>
        <v>1002</v>
      </c>
    </row>
    <row r="4" ht="14.25" customHeight="1">
      <c r="A4" s="10">
        <v>45446.0</v>
      </c>
      <c r="B4" s="2" t="s">
        <v>14</v>
      </c>
      <c r="C4" s="2">
        <v>584.0</v>
      </c>
      <c r="D4" s="2">
        <v>169.0</v>
      </c>
      <c r="E4" s="2">
        <v>146834.0</v>
      </c>
      <c r="F4" s="2">
        <v>8.31</v>
      </c>
      <c r="G4" s="2">
        <v>26752.0</v>
      </c>
      <c r="H4" s="2">
        <f t="shared" si="1"/>
        <v>415</v>
      </c>
    </row>
    <row r="5" ht="14.25" customHeight="1">
      <c r="A5" s="10">
        <v>45446.0</v>
      </c>
      <c r="B5" s="2" t="s">
        <v>27</v>
      </c>
      <c r="C5" s="2">
        <v>1535.0</v>
      </c>
      <c r="D5" s="2">
        <v>445.0</v>
      </c>
      <c r="E5" s="2">
        <v>395536.0</v>
      </c>
      <c r="F5" s="2">
        <v>4.11</v>
      </c>
      <c r="G5" s="2">
        <v>30671.0</v>
      </c>
      <c r="H5" s="2">
        <f t="shared" si="1"/>
        <v>1090</v>
      </c>
      <c r="K5" s="11" t="s">
        <v>571</v>
      </c>
      <c r="L5" s="12"/>
      <c r="M5" s="12"/>
      <c r="N5" s="12"/>
      <c r="O5" s="12">
        <f>SUM(H2:H18)</f>
        <v>13233</v>
      </c>
    </row>
    <row r="6" ht="14.25" customHeight="1">
      <c r="A6" s="10">
        <v>45453.0</v>
      </c>
      <c r="B6" s="2" t="s">
        <v>31</v>
      </c>
      <c r="C6" s="2">
        <v>656.0</v>
      </c>
      <c r="D6" s="2">
        <v>139.0</v>
      </c>
      <c r="E6" s="2">
        <v>49157.0</v>
      </c>
      <c r="F6" s="2">
        <v>9.05</v>
      </c>
      <c r="G6" s="2">
        <v>9920.0</v>
      </c>
      <c r="H6" s="2">
        <f t="shared" si="1"/>
        <v>517</v>
      </c>
      <c r="K6" s="13" t="s">
        <v>572</v>
      </c>
      <c r="L6" s="8"/>
      <c r="M6" s="8"/>
      <c r="N6" s="8"/>
      <c r="O6" s="8">
        <f>SUM(H2:H200)</f>
        <v>160442</v>
      </c>
      <c r="P6" s="3" t="s">
        <v>573</v>
      </c>
    </row>
    <row r="7" ht="14.25" customHeight="1">
      <c r="A7" s="10">
        <v>45453.0</v>
      </c>
      <c r="B7" s="2" t="s">
        <v>40</v>
      </c>
      <c r="C7" s="2">
        <v>1697.0</v>
      </c>
      <c r="D7" s="2">
        <v>414.0</v>
      </c>
      <c r="E7" s="2">
        <v>316555.0</v>
      </c>
      <c r="F7" s="2">
        <v>2.37</v>
      </c>
      <c r="G7" s="2">
        <v>7924.0</v>
      </c>
      <c r="H7" s="2">
        <f t="shared" si="1"/>
        <v>1283</v>
      </c>
      <c r="K7" s="14" t="s">
        <v>574</v>
      </c>
      <c r="O7" s="2">
        <f>SUM(H74:H92)</f>
        <v>14632</v>
      </c>
    </row>
    <row r="8" ht="14.25" customHeight="1">
      <c r="A8" s="10">
        <v>45453.0</v>
      </c>
      <c r="B8" s="2" t="s">
        <v>14</v>
      </c>
      <c r="C8" s="2">
        <v>436.0</v>
      </c>
      <c r="D8" s="2">
        <v>250.0</v>
      </c>
      <c r="E8" s="2">
        <v>254347.0</v>
      </c>
      <c r="F8" s="2">
        <v>4.01</v>
      </c>
      <c r="G8" s="2">
        <v>8912.0</v>
      </c>
      <c r="H8" s="2">
        <f t="shared" si="1"/>
        <v>186</v>
      </c>
      <c r="K8" s="6" t="s">
        <v>575</v>
      </c>
      <c r="M8" s="3"/>
      <c r="O8" s="2">
        <f>SUM(H2:H149)</f>
        <v>119047</v>
      </c>
    </row>
    <row r="9" ht="14.25" customHeight="1">
      <c r="A9" s="10">
        <v>45453.0</v>
      </c>
      <c r="B9" s="2" t="s">
        <v>27</v>
      </c>
      <c r="C9" s="2">
        <v>1197.0</v>
      </c>
      <c r="D9" s="2">
        <v>203.0</v>
      </c>
      <c r="E9" s="2">
        <v>413878.0</v>
      </c>
      <c r="F9" s="2">
        <v>3.16</v>
      </c>
      <c r="G9" s="2">
        <v>21205.0</v>
      </c>
      <c r="H9" s="2">
        <f t="shared" si="1"/>
        <v>994</v>
      </c>
    </row>
    <row r="10" ht="14.25" customHeight="1">
      <c r="A10" s="10">
        <v>45460.0</v>
      </c>
      <c r="B10" s="2" t="s">
        <v>31</v>
      </c>
      <c r="C10" s="2">
        <v>1048.0</v>
      </c>
      <c r="D10" s="2">
        <v>155.0</v>
      </c>
      <c r="E10" s="2">
        <v>456946.0</v>
      </c>
      <c r="F10" s="2">
        <v>2.46</v>
      </c>
      <c r="G10" s="2">
        <v>11329.0</v>
      </c>
      <c r="H10" s="2">
        <f t="shared" si="1"/>
        <v>893</v>
      </c>
    </row>
    <row r="11" ht="14.25" customHeight="1">
      <c r="A11" s="10">
        <v>45460.0</v>
      </c>
      <c r="B11" s="2" t="s">
        <v>40</v>
      </c>
      <c r="C11" s="2">
        <v>1753.0</v>
      </c>
      <c r="D11" s="2">
        <v>371.0</v>
      </c>
      <c r="E11" s="2">
        <v>169496.0</v>
      </c>
      <c r="F11" s="2">
        <v>8.11</v>
      </c>
      <c r="G11" s="2">
        <v>46670.0</v>
      </c>
      <c r="H11" s="2">
        <f t="shared" si="1"/>
        <v>1382</v>
      </c>
    </row>
    <row r="12" ht="14.25" customHeight="1">
      <c r="A12" s="10">
        <v>45460.0</v>
      </c>
      <c r="B12" s="2" t="s">
        <v>14</v>
      </c>
      <c r="C12" s="2">
        <v>1335.0</v>
      </c>
      <c r="D12" s="2">
        <v>40.0</v>
      </c>
      <c r="E12" s="2">
        <v>122732.0</v>
      </c>
      <c r="F12" s="2">
        <v>8.19</v>
      </c>
      <c r="G12" s="2">
        <v>22482.0</v>
      </c>
      <c r="H12" s="2">
        <f t="shared" si="1"/>
        <v>1295</v>
      </c>
    </row>
    <row r="13" ht="14.25" customHeight="1">
      <c r="A13" s="10">
        <v>45460.0</v>
      </c>
      <c r="B13" s="2" t="s">
        <v>27</v>
      </c>
      <c r="C13" s="2">
        <v>403.0</v>
      </c>
      <c r="D13" s="2">
        <v>66.0</v>
      </c>
      <c r="E13" s="2">
        <v>382851.0</v>
      </c>
      <c r="F13" s="2">
        <v>3.49</v>
      </c>
      <c r="G13" s="2">
        <v>24313.0</v>
      </c>
      <c r="H13" s="2">
        <f t="shared" si="1"/>
        <v>337</v>
      </c>
    </row>
    <row r="14" ht="14.25" customHeight="1">
      <c r="A14" s="10">
        <v>45467.0</v>
      </c>
      <c r="B14" s="2" t="s">
        <v>31</v>
      </c>
      <c r="C14" s="2">
        <v>911.0</v>
      </c>
      <c r="D14" s="2">
        <v>282.0</v>
      </c>
      <c r="E14" s="2">
        <v>35664.0</v>
      </c>
      <c r="F14" s="2">
        <v>6.92</v>
      </c>
      <c r="G14" s="2">
        <v>18050.0</v>
      </c>
      <c r="H14" s="2">
        <f t="shared" si="1"/>
        <v>629</v>
      </c>
    </row>
    <row r="15" ht="14.25" customHeight="1">
      <c r="A15" s="10">
        <v>45467.0</v>
      </c>
      <c r="B15" s="2" t="s">
        <v>40</v>
      </c>
      <c r="C15" s="2">
        <v>1779.0</v>
      </c>
      <c r="D15" s="2">
        <v>109.0</v>
      </c>
      <c r="E15" s="2">
        <v>26295.0</v>
      </c>
      <c r="F15" s="2">
        <v>9.12</v>
      </c>
      <c r="G15" s="2">
        <v>30635.0</v>
      </c>
      <c r="H15" s="2">
        <f t="shared" si="1"/>
        <v>1670</v>
      </c>
    </row>
    <row r="16" ht="14.25" customHeight="1">
      <c r="A16" s="10">
        <v>45467.0</v>
      </c>
      <c r="B16" s="2" t="s">
        <v>14</v>
      </c>
      <c r="C16" s="2">
        <v>1238.0</v>
      </c>
      <c r="D16" s="2">
        <v>403.0</v>
      </c>
      <c r="E16" s="2">
        <v>298421.0</v>
      </c>
      <c r="F16" s="2">
        <v>3.5</v>
      </c>
      <c r="G16" s="2">
        <v>31280.0</v>
      </c>
      <c r="H16" s="2">
        <f t="shared" si="1"/>
        <v>835</v>
      </c>
    </row>
    <row r="17" ht="14.25" customHeight="1">
      <c r="A17" s="10">
        <v>45467.0</v>
      </c>
      <c r="B17" s="2" t="s">
        <v>27</v>
      </c>
      <c r="C17" s="2">
        <v>308.0</v>
      </c>
      <c r="D17" s="2">
        <v>431.0</v>
      </c>
      <c r="E17" s="2">
        <v>426184.0</v>
      </c>
      <c r="F17" s="2">
        <v>2.62</v>
      </c>
      <c r="G17" s="2">
        <v>1783.0</v>
      </c>
      <c r="H17" s="2">
        <f t="shared" si="1"/>
        <v>-123</v>
      </c>
    </row>
    <row r="18" ht="14.25" customHeight="1">
      <c r="A18" s="10">
        <v>45474.0</v>
      </c>
      <c r="B18" s="2" t="s">
        <v>31</v>
      </c>
      <c r="C18" s="2">
        <v>226.0</v>
      </c>
      <c r="D18" s="2">
        <v>445.0</v>
      </c>
      <c r="E18" s="2">
        <v>419447.0</v>
      </c>
      <c r="F18" s="2">
        <v>9.36</v>
      </c>
      <c r="G18" s="2">
        <v>9566.0</v>
      </c>
      <c r="H18" s="2">
        <f t="shared" si="1"/>
        <v>-219</v>
      </c>
    </row>
    <row r="19" ht="14.25" customHeight="1">
      <c r="A19" s="10">
        <v>45474.0</v>
      </c>
      <c r="B19" s="2" t="s">
        <v>40</v>
      </c>
      <c r="C19" s="2">
        <v>505.0</v>
      </c>
      <c r="D19" s="2">
        <v>441.0</v>
      </c>
      <c r="E19" s="2">
        <v>220020.0</v>
      </c>
      <c r="F19" s="2">
        <v>4.48</v>
      </c>
      <c r="G19" s="2">
        <v>42307.0</v>
      </c>
      <c r="H19" s="2">
        <f t="shared" si="1"/>
        <v>64</v>
      </c>
    </row>
    <row r="20" ht="14.25" customHeight="1">
      <c r="A20" s="10">
        <v>45474.0</v>
      </c>
      <c r="B20" s="2" t="s">
        <v>14</v>
      </c>
      <c r="C20" s="2">
        <v>1420.0</v>
      </c>
      <c r="D20" s="2">
        <v>63.0</v>
      </c>
      <c r="E20" s="2">
        <v>315305.0</v>
      </c>
      <c r="F20" s="2">
        <v>6.19</v>
      </c>
      <c r="G20" s="2">
        <v>5914.0</v>
      </c>
      <c r="H20" s="2">
        <f t="shared" si="1"/>
        <v>1357</v>
      </c>
    </row>
    <row r="21" ht="14.25" customHeight="1">
      <c r="A21" s="10">
        <v>45474.0</v>
      </c>
      <c r="B21" s="2" t="s">
        <v>27</v>
      </c>
      <c r="C21" s="2">
        <v>144.0</v>
      </c>
      <c r="D21" s="2">
        <v>53.0</v>
      </c>
      <c r="E21" s="2">
        <v>113678.0</v>
      </c>
      <c r="F21" s="2">
        <v>8.72</v>
      </c>
      <c r="G21" s="2">
        <v>30060.0</v>
      </c>
      <c r="H21" s="2">
        <f t="shared" si="1"/>
        <v>91</v>
      </c>
    </row>
    <row r="22" ht="14.25" customHeight="1">
      <c r="A22" s="10">
        <v>45481.0</v>
      </c>
      <c r="B22" s="2" t="s">
        <v>31</v>
      </c>
      <c r="C22" s="2">
        <v>1757.0</v>
      </c>
      <c r="D22" s="2">
        <v>85.0</v>
      </c>
      <c r="E22" s="2">
        <v>58223.0</v>
      </c>
      <c r="F22" s="2">
        <v>8.74</v>
      </c>
      <c r="G22" s="2">
        <v>22728.0</v>
      </c>
      <c r="H22" s="2">
        <f t="shared" si="1"/>
        <v>1672</v>
      </c>
    </row>
    <row r="23" ht="14.25" customHeight="1">
      <c r="A23" s="10">
        <v>45481.0</v>
      </c>
      <c r="B23" s="2" t="s">
        <v>40</v>
      </c>
      <c r="C23" s="2">
        <v>350.0</v>
      </c>
      <c r="D23" s="2">
        <v>41.0</v>
      </c>
      <c r="E23" s="2">
        <v>251694.0</v>
      </c>
      <c r="F23" s="2">
        <v>1.91</v>
      </c>
      <c r="G23" s="2">
        <v>38610.0</v>
      </c>
      <c r="H23" s="2">
        <f t="shared" si="1"/>
        <v>309</v>
      </c>
    </row>
    <row r="24" ht="14.25" customHeight="1">
      <c r="A24" s="10">
        <v>45481.0</v>
      </c>
      <c r="B24" s="2" t="s">
        <v>14</v>
      </c>
      <c r="C24" s="2">
        <v>987.0</v>
      </c>
      <c r="D24" s="2">
        <v>440.0</v>
      </c>
      <c r="E24" s="2">
        <v>389810.0</v>
      </c>
      <c r="F24" s="2">
        <v>4.66</v>
      </c>
      <c r="G24" s="2">
        <v>2932.0</v>
      </c>
      <c r="H24" s="2">
        <f t="shared" si="1"/>
        <v>547</v>
      </c>
    </row>
    <row r="25" ht="14.25" customHeight="1">
      <c r="A25" s="10">
        <v>45481.0</v>
      </c>
      <c r="B25" s="2" t="s">
        <v>27</v>
      </c>
      <c r="C25" s="2">
        <v>883.0</v>
      </c>
      <c r="D25" s="2">
        <v>369.0</v>
      </c>
      <c r="E25" s="2">
        <v>233694.0</v>
      </c>
      <c r="F25" s="2">
        <v>2.88</v>
      </c>
      <c r="G25" s="2">
        <v>15071.0</v>
      </c>
      <c r="H25" s="2">
        <f t="shared" si="1"/>
        <v>514</v>
      </c>
    </row>
    <row r="26" ht="14.25" customHeight="1">
      <c r="A26" s="10">
        <v>45488.0</v>
      </c>
      <c r="B26" s="2" t="s">
        <v>31</v>
      </c>
      <c r="C26" s="2">
        <v>1960.0</v>
      </c>
      <c r="D26" s="2">
        <v>115.0</v>
      </c>
      <c r="E26" s="2">
        <v>154169.0</v>
      </c>
      <c r="F26" s="2">
        <v>3.74</v>
      </c>
      <c r="G26" s="2">
        <v>10740.0</v>
      </c>
      <c r="H26" s="2">
        <f t="shared" si="1"/>
        <v>1845</v>
      </c>
    </row>
    <row r="27" ht="14.25" customHeight="1">
      <c r="A27" s="10">
        <v>45488.0</v>
      </c>
      <c r="B27" s="2" t="s">
        <v>40</v>
      </c>
      <c r="C27" s="2">
        <v>170.0</v>
      </c>
      <c r="D27" s="2">
        <v>334.0</v>
      </c>
      <c r="E27" s="2">
        <v>334626.0</v>
      </c>
      <c r="F27" s="2">
        <v>6.44</v>
      </c>
      <c r="G27" s="2">
        <v>43420.0</v>
      </c>
      <c r="H27" s="2">
        <f t="shared" si="1"/>
        <v>-164</v>
      </c>
    </row>
    <row r="28" ht="14.25" customHeight="1">
      <c r="A28" s="10">
        <v>45488.0</v>
      </c>
      <c r="B28" s="2" t="s">
        <v>14</v>
      </c>
      <c r="C28" s="2">
        <v>704.0</v>
      </c>
      <c r="D28" s="2">
        <v>275.0</v>
      </c>
      <c r="E28" s="2">
        <v>226002.0</v>
      </c>
      <c r="F28" s="2">
        <v>8.56</v>
      </c>
      <c r="G28" s="2">
        <v>32393.0</v>
      </c>
      <c r="H28" s="2">
        <f t="shared" si="1"/>
        <v>429</v>
      </c>
    </row>
    <row r="29" ht="14.25" customHeight="1">
      <c r="A29" s="10">
        <v>45488.0</v>
      </c>
      <c r="B29" s="2" t="s">
        <v>27</v>
      </c>
      <c r="C29" s="2">
        <v>224.0</v>
      </c>
      <c r="D29" s="2">
        <v>64.0</v>
      </c>
      <c r="E29" s="2">
        <v>156683.0</v>
      </c>
      <c r="F29" s="2">
        <v>4.56</v>
      </c>
      <c r="G29" s="2">
        <v>28474.0</v>
      </c>
      <c r="H29" s="2">
        <f t="shared" si="1"/>
        <v>160</v>
      </c>
    </row>
    <row r="30" ht="14.25" customHeight="1">
      <c r="A30" s="10">
        <v>45495.0</v>
      </c>
      <c r="B30" s="2" t="s">
        <v>31</v>
      </c>
      <c r="C30" s="2">
        <v>508.0</v>
      </c>
      <c r="D30" s="2">
        <v>349.0</v>
      </c>
      <c r="E30" s="2">
        <v>473812.0</v>
      </c>
      <c r="F30" s="2">
        <v>7.88</v>
      </c>
      <c r="G30" s="2">
        <v>17328.0</v>
      </c>
      <c r="H30" s="2">
        <f t="shared" si="1"/>
        <v>159</v>
      </c>
    </row>
    <row r="31" ht="14.25" customHeight="1">
      <c r="A31" s="10">
        <v>45495.0</v>
      </c>
      <c r="B31" s="2" t="s">
        <v>40</v>
      </c>
      <c r="C31" s="2">
        <v>1391.0</v>
      </c>
      <c r="D31" s="2">
        <v>430.0</v>
      </c>
      <c r="E31" s="2">
        <v>295032.0</v>
      </c>
      <c r="F31" s="2">
        <v>7.86</v>
      </c>
      <c r="G31" s="2">
        <v>26067.0</v>
      </c>
      <c r="H31" s="2">
        <f t="shared" si="1"/>
        <v>961</v>
      </c>
    </row>
    <row r="32" ht="14.25" customHeight="1">
      <c r="A32" s="10">
        <v>45495.0</v>
      </c>
      <c r="B32" s="2" t="s">
        <v>14</v>
      </c>
      <c r="C32" s="2">
        <v>1701.0</v>
      </c>
      <c r="D32" s="2">
        <v>385.0</v>
      </c>
      <c r="E32" s="2">
        <v>198278.0</v>
      </c>
      <c r="F32" s="2">
        <v>5.34</v>
      </c>
      <c r="G32" s="2">
        <v>32763.0</v>
      </c>
      <c r="H32" s="2">
        <f t="shared" si="1"/>
        <v>1316</v>
      </c>
    </row>
    <row r="33" ht="14.25" customHeight="1">
      <c r="A33" s="10">
        <v>45495.0</v>
      </c>
      <c r="B33" s="2" t="s">
        <v>27</v>
      </c>
      <c r="C33" s="2">
        <v>804.0</v>
      </c>
      <c r="D33" s="2">
        <v>487.0</v>
      </c>
      <c r="E33" s="2">
        <v>306564.0</v>
      </c>
      <c r="F33" s="2">
        <v>5.52</v>
      </c>
      <c r="G33" s="2">
        <v>26452.0</v>
      </c>
      <c r="H33" s="2">
        <f t="shared" si="1"/>
        <v>317</v>
      </c>
    </row>
    <row r="34" ht="14.25" customHeight="1">
      <c r="A34" s="10">
        <v>45502.0</v>
      </c>
      <c r="B34" s="2" t="s">
        <v>31</v>
      </c>
      <c r="C34" s="2">
        <v>653.0</v>
      </c>
      <c r="D34" s="2">
        <v>112.0</v>
      </c>
      <c r="E34" s="2">
        <v>23664.0</v>
      </c>
      <c r="F34" s="2">
        <v>4.05</v>
      </c>
      <c r="G34" s="2">
        <v>15353.0</v>
      </c>
      <c r="H34" s="2">
        <f t="shared" si="1"/>
        <v>541</v>
      </c>
    </row>
    <row r="35" ht="14.25" customHeight="1">
      <c r="A35" s="10">
        <v>45502.0</v>
      </c>
      <c r="B35" s="2" t="s">
        <v>40</v>
      </c>
      <c r="C35" s="2">
        <v>160.0</v>
      </c>
      <c r="D35" s="2">
        <v>478.0</v>
      </c>
      <c r="E35" s="2">
        <v>435034.0</v>
      </c>
      <c r="F35" s="2">
        <v>7.73</v>
      </c>
      <c r="G35" s="2">
        <v>4839.0</v>
      </c>
      <c r="H35" s="2">
        <f t="shared" si="1"/>
        <v>-318</v>
      </c>
    </row>
    <row r="36" ht="14.25" customHeight="1">
      <c r="A36" s="10">
        <v>45502.0</v>
      </c>
      <c r="B36" s="2" t="s">
        <v>14</v>
      </c>
      <c r="C36" s="2">
        <v>1756.0</v>
      </c>
      <c r="D36" s="2">
        <v>261.0</v>
      </c>
      <c r="E36" s="2">
        <v>287574.0</v>
      </c>
      <c r="F36" s="2">
        <v>4.36</v>
      </c>
      <c r="G36" s="2">
        <v>39272.0</v>
      </c>
      <c r="H36" s="2">
        <f t="shared" si="1"/>
        <v>1495</v>
      </c>
    </row>
    <row r="37" ht="14.25" customHeight="1">
      <c r="A37" s="10">
        <v>45502.0</v>
      </c>
      <c r="B37" s="2" t="s">
        <v>27</v>
      </c>
      <c r="C37" s="2">
        <v>576.0</v>
      </c>
      <c r="D37" s="2">
        <v>101.0</v>
      </c>
      <c r="E37" s="2">
        <v>62499.0</v>
      </c>
      <c r="F37" s="2">
        <v>3.48</v>
      </c>
      <c r="G37" s="2">
        <v>16804.0</v>
      </c>
      <c r="H37" s="2">
        <f t="shared" si="1"/>
        <v>475</v>
      </c>
    </row>
    <row r="38" ht="14.25" customHeight="1">
      <c r="A38" s="10">
        <v>45509.0</v>
      </c>
      <c r="B38" s="2" t="s">
        <v>31</v>
      </c>
      <c r="C38" s="2">
        <v>645.0</v>
      </c>
      <c r="D38" s="2">
        <v>293.0</v>
      </c>
      <c r="E38" s="2">
        <v>437968.0</v>
      </c>
      <c r="F38" s="2">
        <v>7.83</v>
      </c>
      <c r="G38" s="2">
        <v>49303.0</v>
      </c>
      <c r="H38" s="2">
        <f t="shared" si="1"/>
        <v>352</v>
      </c>
    </row>
    <row r="39" ht="14.25" customHeight="1">
      <c r="A39" s="10">
        <v>45509.0</v>
      </c>
      <c r="B39" s="2" t="s">
        <v>40</v>
      </c>
      <c r="C39" s="2">
        <v>214.0</v>
      </c>
      <c r="D39" s="2">
        <v>411.0</v>
      </c>
      <c r="E39" s="2">
        <v>125034.0</v>
      </c>
      <c r="F39" s="2">
        <v>6.11</v>
      </c>
      <c r="G39" s="2">
        <v>26455.0</v>
      </c>
      <c r="H39" s="2">
        <f t="shared" si="1"/>
        <v>-197</v>
      </c>
    </row>
    <row r="40" ht="14.25" customHeight="1">
      <c r="A40" s="10">
        <v>45509.0</v>
      </c>
      <c r="B40" s="2" t="s">
        <v>14</v>
      </c>
      <c r="C40" s="2">
        <v>826.0</v>
      </c>
      <c r="D40" s="2">
        <v>498.0</v>
      </c>
      <c r="E40" s="2">
        <v>449994.0</v>
      </c>
      <c r="F40" s="2">
        <v>9.43</v>
      </c>
      <c r="G40" s="2">
        <v>12384.0</v>
      </c>
      <c r="H40" s="2">
        <f t="shared" si="1"/>
        <v>328</v>
      </c>
    </row>
    <row r="41" ht="14.25" customHeight="1">
      <c r="A41" s="10">
        <v>45509.0</v>
      </c>
      <c r="B41" s="2" t="s">
        <v>27</v>
      </c>
      <c r="C41" s="2">
        <v>460.0</v>
      </c>
      <c r="D41" s="2">
        <v>141.0</v>
      </c>
      <c r="E41" s="2">
        <v>320650.0</v>
      </c>
      <c r="F41" s="2">
        <v>4.04</v>
      </c>
      <c r="G41" s="2">
        <v>49372.0</v>
      </c>
      <c r="H41" s="2">
        <f t="shared" si="1"/>
        <v>319</v>
      </c>
    </row>
    <row r="42" ht="14.25" customHeight="1">
      <c r="A42" s="10">
        <v>45516.0</v>
      </c>
      <c r="B42" s="2" t="s">
        <v>31</v>
      </c>
      <c r="C42" s="2">
        <v>1528.0</v>
      </c>
      <c r="D42" s="2">
        <v>203.0</v>
      </c>
      <c r="E42" s="2">
        <v>489188.0</v>
      </c>
      <c r="F42" s="2">
        <v>6.23</v>
      </c>
      <c r="G42" s="2">
        <v>47101.0</v>
      </c>
      <c r="H42" s="2">
        <f t="shared" si="1"/>
        <v>1325</v>
      </c>
    </row>
    <row r="43" ht="14.25" customHeight="1">
      <c r="A43" s="10">
        <v>45516.0</v>
      </c>
      <c r="B43" s="2" t="s">
        <v>40</v>
      </c>
      <c r="C43" s="2">
        <v>1534.0</v>
      </c>
      <c r="D43" s="2">
        <v>200.0</v>
      </c>
      <c r="E43" s="2">
        <v>307612.0</v>
      </c>
      <c r="F43" s="2">
        <v>6.01</v>
      </c>
      <c r="G43" s="2">
        <v>37903.0</v>
      </c>
      <c r="H43" s="2">
        <f t="shared" si="1"/>
        <v>1334</v>
      </c>
    </row>
    <row r="44" ht="14.25" customHeight="1">
      <c r="A44" s="10">
        <v>45516.0</v>
      </c>
      <c r="B44" s="2" t="s">
        <v>14</v>
      </c>
      <c r="C44" s="2">
        <v>485.0</v>
      </c>
      <c r="D44" s="2">
        <v>448.0</v>
      </c>
      <c r="E44" s="2">
        <v>434883.0</v>
      </c>
      <c r="F44" s="2">
        <v>8.55</v>
      </c>
      <c r="G44" s="2">
        <v>33258.0</v>
      </c>
      <c r="H44" s="2">
        <f t="shared" si="1"/>
        <v>37</v>
      </c>
    </row>
    <row r="45" ht="14.25" customHeight="1">
      <c r="A45" s="10">
        <v>45516.0</v>
      </c>
      <c r="B45" s="2" t="s">
        <v>27</v>
      </c>
      <c r="C45" s="2">
        <v>1210.0</v>
      </c>
      <c r="D45" s="2">
        <v>178.0</v>
      </c>
      <c r="E45" s="2">
        <v>102042.0</v>
      </c>
      <c r="F45" s="2">
        <v>5.42</v>
      </c>
      <c r="G45" s="2">
        <v>6915.0</v>
      </c>
      <c r="H45" s="2">
        <f t="shared" si="1"/>
        <v>1032</v>
      </c>
    </row>
    <row r="46" ht="14.25" customHeight="1">
      <c r="A46" s="10">
        <v>45523.0</v>
      </c>
      <c r="B46" s="2" t="s">
        <v>31</v>
      </c>
      <c r="C46" s="2">
        <v>215.0</v>
      </c>
      <c r="D46" s="2">
        <v>139.0</v>
      </c>
      <c r="E46" s="2">
        <v>325444.0</v>
      </c>
      <c r="F46" s="2">
        <v>3.25</v>
      </c>
      <c r="G46" s="2">
        <v>35501.0</v>
      </c>
      <c r="H46" s="2">
        <f t="shared" si="1"/>
        <v>76</v>
      </c>
    </row>
    <row r="47" ht="14.25" customHeight="1">
      <c r="A47" s="10">
        <v>45523.0</v>
      </c>
      <c r="B47" s="2" t="s">
        <v>40</v>
      </c>
      <c r="C47" s="2">
        <v>1078.0</v>
      </c>
      <c r="D47" s="2">
        <v>20.0</v>
      </c>
      <c r="E47" s="2">
        <v>183924.0</v>
      </c>
      <c r="F47" s="2">
        <v>8.84</v>
      </c>
      <c r="G47" s="2">
        <v>14203.0</v>
      </c>
      <c r="H47" s="2">
        <f t="shared" si="1"/>
        <v>1058</v>
      </c>
    </row>
    <row r="48" ht="14.25" customHeight="1">
      <c r="A48" s="10">
        <v>45523.0</v>
      </c>
      <c r="B48" s="2" t="s">
        <v>14</v>
      </c>
      <c r="C48" s="2">
        <v>1751.0</v>
      </c>
      <c r="D48" s="2">
        <v>86.0</v>
      </c>
      <c r="E48" s="2">
        <v>188655.0</v>
      </c>
      <c r="F48" s="2">
        <v>7.24</v>
      </c>
      <c r="G48" s="2">
        <v>22206.0</v>
      </c>
      <c r="H48" s="2">
        <f t="shared" si="1"/>
        <v>1665</v>
      </c>
    </row>
    <row r="49" ht="14.25" customHeight="1">
      <c r="A49" s="10">
        <v>45523.0</v>
      </c>
      <c r="B49" s="2" t="s">
        <v>27</v>
      </c>
      <c r="C49" s="2">
        <v>221.0</v>
      </c>
      <c r="D49" s="2">
        <v>31.0</v>
      </c>
      <c r="E49" s="2">
        <v>87443.0</v>
      </c>
      <c r="F49" s="2">
        <v>6.19</v>
      </c>
      <c r="G49" s="2">
        <v>10283.0</v>
      </c>
      <c r="H49" s="2">
        <f t="shared" si="1"/>
        <v>190</v>
      </c>
    </row>
    <row r="50" ht="14.25" customHeight="1">
      <c r="A50" s="10">
        <v>45530.0</v>
      </c>
      <c r="B50" s="2" t="s">
        <v>31</v>
      </c>
      <c r="C50" s="2">
        <v>1685.0</v>
      </c>
      <c r="D50" s="2">
        <v>76.0</v>
      </c>
      <c r="E50" s="2">
        <v>453799.0</v>
      </c>
      <c r="F50" s="2">
        <v>5.71</v>
      </c>
      <c r="G50" s="2">
        <v>24913.0</v>
      </c>
      <c r="H50" s="2">
        <f t="shared" si="1"/>
        <v>1609</v>
      </c>
    </row>
    <row r="51" ht="14.25" customHeight="1">
      <c r="A51" s="10">
        <v>45530.0</v>
      </c>
      <c r="B51" s="2" t="s">
        <v>40</v>
      </c>
      <c r="C51" s="2">
        <v>248.0</v>
      </c>
      <c r="D51" s="2">
        <v>211.0</v>
      </c>
      <c r="E51" s="2">
        <v>379380.0</v>
      </c>
      <c r="F51" s="2">
        <v>9.04</v>
      </c>
      <c r="G51" s="2">
        <v>26925.0</v>
      </c>
      <c r="H51" s="2">
        <f t="shared" si="1"/>
        <v>37</v>
      </c>
    </row>
    <row r="52" ht="14.25" customHeight="1">
      <c r="A52" s="10">
        <v>45530.0</v>
      </c>
      <c r="B52" s="2" t="s">
        <v>14</v>
      </c>
      <c r="C52" s="2">
        <v>1300.0</v>
      </c>
      <c r="D52" s="2">
        <v>71.0</v>
      </c>
      <c r="E52" s="2">
        <v>186454.0</v>
      </c>
      <c r="F52" s="2">
        <v>3.91</v>
      </c>
      <c r="G52" s="2">
        <v>9942.0</v>
      </c>
      <c r="H52" s="2">
        <f t="shared" si="1"/>
        <v>1229</v>
      </c>
    </row>
    <row r="53" ht="14.25" customHeight="1">
      <c r="A53" s="10">
        <v>45530.0</v>
      </c>
      <c r="B53" s="2" t="s">
        <v>27</v>
      </c>
      <c r="C53" s="2">
        <v>422.0</v>
      </c>
      <c r="D53" s="2">
        <v>394.0</v>
      </c>
      <c r="E53" s="2">
        <v>239044.0</v>
      </c>
      <c r="F53" s="2">
        <v>7.83</v>
      </c>
      <c r="G53" s="2">
        <v>32929.0</v>
      </c>
      <c r="H53" s="2">
        <f t="shared" si="1"/>
        <v>28</v>
      </c>
    </row>
    <row r="54" ht="14.25" customHeight="1">
      <c r="A54" s="10">
        <v>45537.0</v>
      </c>
      <c r="B54" s="2" t="s">
        <v>31</v>
      </c>
      <c r="C54" s="2">
        <v>1429.0</v>
      </c>
      <c r="D54" s="2">
        <v>182.0</v>
      </c>
      <c r="E54" s="2">
        <v>101332.0</v>
      </c>
      <c r="F54" s="2">
        <v>7.16</v>
      </c>
      <c r="G54" s="2">
        <v>37829.0</v>
      </c>
      <c r="H54" s="2">
        <f t="shared" si="1"/>
        <v>1247</v>
      </c>
    </row>
    <row r="55" ht="14.25" customHeight="1">
      <c r="A55" s="10">
        <v>45537.0</v>
      </c>
      <c r="B55" s="2" t="s">
        <v>40</v>
      </c>
      <c r="C55" s="2">
        <v>1520.0</v>
      </c>
      <c r="D55" s="2">
        <v>475.0</v>
      </c>
      <c r="E55" s="2">
        <v>496982.0</v>
      </c>
      <c r="F55" s="2">
        <v>6.41</v>
      </c>
      <c r="G55" s="2">
        <v>24384.0</v>
      </c>
      <c r="H55" s="2">
        <f t="shared" si="1"/>
        <v>1045</v>
      </c>
    </row>
    <row r="56" ht="14.25" customHeight="1">
      <c r="A56" s="10">
        <v>45537.0</v>
      </c>
      <c r="B56" s="2" t="s">
        <v>14</v>
      </c>
      <c r="C56" s="2">
        <v>557.0</v>
      </c>
      <c r="D56" s="2">
        <v>360.0</v>
      </c>
      <c r="E56" s="2">
        <v>318779.0</v>
      </c>
      <c r="F56" s="2">
        <v>8.02</v>
      </c>
      <c r="G56" s="2">
        <v>25797.0</v>
      </c>
      <c r="H56" s="2">
        <f t="shared" si="1"/>
        <v>197</v>
      </c>
    </row>
    <row r="57" ht="14.25" customHeight="1">
      <c r="A57" s="10">
        <v>45537.0</v>
      </c>
      <c r="B57" s="2" t="s">
        <v>27</v>
      </c>
      <c r="C57" s="2">
        <v>728.0</v>
      </c>
      <c r="D57" s="2">
        <v>395.0</v>
      </c>
      <c r="E57" s="2">
        <v>370971.0</v>
      </c>
      <c r="F57" s="2">
        <v>3.86</v>
      </c>
      <c r="G57" s="2">
        <v>12646.0</v>
      </c>
      <c r="H57" s="2">
        <f t="shared" si="1"/>
        <v>333</v>
      </c>
    </row>
    <row r="58" ht="14.25" customHeight="1">
      <c r="A58" s="10">
        <v>45544.0</v>
      </c>
      <c r="B58" s="2" t="s">
        <v>31</v>
      </c>
      <c r="C58" s="2">
        <v>1592.0</v>
      </c>
      <c r="D58" s="2">
        <v>20.0</v>
      </c>
      <c r="E58" s="2">
        <v>378054.0</v>
      </c>
      <c r="F58" s="2">
        <v>9.09</v>
      </c>
      <c r="G58" s="2">
        <v>26663.0</v>
      </c>
      <c r="H58" s="2">
        <f t="shared" si="1"/>
        <v>1572</v>
      </c>
    </row>
    <row r="59" ht="14.25" customHeight="1">
      <c r="A59" s="10">
        <v>45544.0</v>
      </c>
      <c r="B59" s="2" t="s">
        <v>40</v>
      </c>
      <c r="C59" s="2">
        <v>1842.0</v>
      </c>
      <c r="D59" s="2">
        <v>414.0</v>
      </c>
      <c r="E59" s="2">
        <v>307524.0</v>
      </c>
      <c r="F59" s="2">
        <v>1.76</v>
      </c>
      <c r="G59" s="2">
        <v>40478.0</v>
      </c>
      <c r="H59" s="2">
        <f t="shared" si="1"/>
        <v>1428</v>
      </c>
    </row>
    <row r="60" ht="14.25" customHeight="1">
      <c r="A60" s="10">
        <v>45544.0</v>
      </c>
      <c r="B60" s="2" t="s">
        <v>14</v>
      </c>
      <c r="C60" s="2">
        <v>751.0</v>
      </c>
      <c r="D60" s="2">
        <v>491.0</v>
      </c>
      <c r="E60" s="2">
        <v>434047.0</v>
      </c>
      <c r="F60" s="2">
        <v>9.24</v>
      </c>
      <c r="G60" s="2">
        <v>15476.0</v>
      </c>
      <c r="H60" s="2">
        <f t="shared" si="1"/>
        <v>260</v>
      </c>
    </row>
    <row r="61" ht="14.25" customHeight="1">
      <c r="A61" s="10">
        <v>45544.0</v>
      </c>
      <c r="B61" s="2" t="s">
        <v>27</v>
      </c>
      <c r="C61" s="2">
        <v>1409.0</v>
      </c>
      <c r="D61" s="2">
        <v>309.0</v>
      </c>
      <c r="E61" s="2">
        <v>64583.0</v>
      </c>
      <c r="F61" s="2">
        <v>8.99</v>
      </c>
      <c r="G61" s="2">
        <v>10217.0</v>
      </c>
      <c r="H61" s="2">
        <f t="shared" si="1"/>
        <v>1100</v>
      </c>
    </row>
    <row r="62" ht="14.25" customHeight="1">
      <c r="A62" s="10">
        <v>45551.0</v>
      </c>
      <c r="B62" s="2" t="s">
        <v>31</v>
      </c>
      <c r="C62" s="2">
        <v>778.0</v>
      </c>
      <c r="D62" s="2">
        <v>401.0</v>
      </c>
      <c r="E62" s="2">
        <v>50793.0</v>
      </c>
      <c r="F62" s="2">
        <v>3.4</v>
      </c>
      <c r="G62" s="2">
        <v>21939.0</v>
      </c>
      <c r="H62" s="2">
        <f t="shared" si="1"/>
        <v>377</v>
      </c>
    </row>
    <row r="63" ht="14.25" customHeight="1">
      <c r="A63" s="10">
        <v>45551.0</v>
      </c>
      <c r="B63" s="2" t="s">
        <v>40</v>
      </c>
      <c r="C63" s="2">
        <v>443.0</v>
      </c>
      <c r="D63" s="2">
        <v>345.0</v>
      </c>
      <c r="E63" s="2">
        <v>474162.0</v>
      </c>
      <c r="F63" s="2">
        <v>9.2</v>
      </c>
      <c r="G63" s="2">
        <v>47462.0</v>
      </c>
      <c r="H63" s="2">
        <f t="shared" si="1"/>
        <v>98</v>
      </c>
    </row>
    <row r="64" ht="14.25" customHeight="1">
      <c r="A64" s="10">
        <v>45551.0</v>
      </c>
      <c r="B64" s="2" t="s">
        <v>14</v>
      </c>
      <c r="C64" s="2">
        <v>1472.0</v>
      </c>
      <c r="D64" s="2">
        <v>347.0</v>
      </c>
      <c r="E64" s="2">
        <v>392355.0</v>
      </c>
      <c r="F64" s="2">
        <v>8.59</v>
      </c>
      <c r="G64" s="2">
        <v>30270.0</v>
      </c>
      <c r="H64" s="2">
        <f t="shared" si="1"/>
        <v>1125</v>
      </c>
    </row>
    <row r="65" ht="14.25" customHeight="1">
      <c r="A65" s="10">
        <v>45551.0</v>
      </c>
      <c r="B65" s="2" t="s">
        <v>27</v>
      </c>
      <c r="C65" s="2">
        <v>123.0</v>
      </c>
      <c r="D65" s="2">
        <v>155.0</v>
      </c>
      <c r="E65" s="2">
        <v>119934.0</v>
      </c>
      <c r="F65" s="2">
        <v>3.5</v>
      </c>
      <c r="G65" s="2">
        <v>5442.0</v>
      </c>
      <c r="H65" s="2">
        <f t="shared" si="1"/>
        <v>-32</v>
      </c>
    </row>
    <row r="66" ht="14.25" customHeight="1">
      <c r="A66" s="10">
        <v>45558.0</v>
      </c>
      <c r="B66" s="2" t="s">
        <v>31</v>
      </c>
      <c r="C66" s="2">
        <v>817.0</v>
      </c>
      <c r="D66" s="2">
        <v>151.0</v>
      </c>
      <c r="E66" s="2">
        <v>422625.0</v>
      </c>
      <c r="F66" s="2">
        <v>2.36</v>
      </c>
      <c r="G66" s="2">
        <v>1083.0</v>
      </c>
      <c r="H66" s="2">
        <f t="shared" si="1"/>
        <v>666</v>
      </c>
    </row>
    <row r="67" ht="14.25" customHeight="1">
      <c r="A67" s="10">
        <v>45558.0</v>
      </c>
      <c r="B67" s="2" t="s">
        <v>40</v>
      </c>
      <c r="C67" s="2">
        <v>198.0</v>
      </c>
      <c r="D67" s="2">
        <v>217.0</v>
      </c>
      <c r="E67" s="2">
        <v>239753.0</v>
      </c>
      <c r="F67" s="2">
        <v>7.36</v>
      </c>
      <c r="G67" s="2">
        <v>11901.0</v>
      </c>
      <c r="H67" s="2">
        <f t="shared" si="1"/>
        <v>-19</v>
      </c>
    </row>
    <row r="68" ht="14.25" customHeight="1">
      <c r="A68" s="10">
        <v>45558.0</v>
      </c>
      <c r="B68" s="2" t="s">
        <v>14</v>
      </c>
      <c r="C68" s="2">
        <v>1911.0</v>
      </c>
      <c r="D68" s="2">
        <v>231.0</v>
      </c>
      <c r="E68" s="2">
        <v>268516.0</v>
      </c>
      <c r="F68" s="2">
        <v>8.55</v>
      </c>
      <c r="G68" s="2">
        <v>24018.0</v>
      </c>
      <c r="H68" s="2">
        <f t="shared" si="1"/>
        <v>1680</v>
      </c>
    </row>
    <row r="69" ht="14.25" customHeight="1">
      <c r="A69" s="10">
        <v>45558.0</v>
      </c>
      <c r="B69" s="2" t="s">
        <v>27</v>
      </c>
      <c r="C69" s="2">
        <v>1218.0</v>
      </c>
      <c r="D69" s="2">
        <v>212.0</v>
      </c>
      <c r="E69" s="2">
        <v>63177.0</v>
      </c>
      <c r="F69" s="2">
        <v>8.13</v>
      </c>
      <c r="G69" s="2">
        <v>38883.0</v>
      </c>
      <c r="H69" s="2">
        <f t="shared" si="1"/>
        <v>1006</v>
      </c>
    </row>
    <row r="70" ht="14.25" customHeight="1">
      <c r="A70" s="10">
        <v>45565.0</v>
      </c>
      <c r="B70" s="2" t="s">
        <v>31</v>
      </c>
      <c r="C70" s="2">
        <v>1433.0</v>
      </c>
      <c r="D70" s="2">
        <v>408.0</v>
      </c>
      <c r="E70" s="2">
        <v>370269.0</v>
      </c>
      <c r="F70" s="2">
        <v>3.3</v>
      </c>
      <c r="G70" s="2">
        <v>30575.0</v>
      </c>
      <c r="H70" s="2">
        <f t="shared" si="1"/>
        <v>1025</v>
      </c>
    </row>
    <row r="71" ht="14.25" customHeight="1">
      <c r="A71" s="10">
        <v>45565.0</v>
      </c>
      <c r="B71" s="2" t="s">
        <v>40</v>
      </c>
      <c r="C71" s="2">
        <v>250.0</v>
      </c>
      <c r="D71" s="2">
        <v>429.0</v>
      </c>
      <c r="E71" s="2">
        <v>453423.0</v>
      </c>
      <c r="F71" s="2">
        <v>1.77</v>
      </c>
      <c r="G71" s="2">
        <v>2315.0</v>
      </c>
      <c r="H71" s="2">
        <f t="shared" si="1"/>
        <v>-179</v>
      </c>
    </row>
    <row r="72" ht="14.25" customHeight="1">
      <c r="A72" s="10">
        <v>45565.0</v>
      </c>
      <c r="B72" s="2" t="s">
        <v>14</v>
      </c>
      <c r="C72" s="2">
        <v>752.0</v>
      </c>
      <c r="D72" s="2">
        <v>153.0</v>
      </c>
      <c r="E72" s="2">
        <v>64906.0</v>
      </c>
      <c r="F72" s="2">
        <v>2.09</v>
      </c>
      <c r="G72" s="2">
        <v>12148.0</v>
      </c>
      <c r="H72" s="2">
        <f t="shared" si="1"/>
        <v>599</v>
      </c>
    </row>
    <row r="73" ht="14.25" customHeight="1">
      <c r="A73" s="10">
        <v>45565.0</v>
      </c>
      <c r="B73" s="2" t="s">
        <v>27</v>
      </c>
      <c r="C73" s="2">
        <v>1918.0</v>
      </c>
      <c r="D73" s="2">
        <v>212.0</v>
      </c>
      <c r="E73" s="2">
        <v>94360.0</v>
      </c>
      <c r="F73" s="2">
        <v>7.36</v>
      </c>
      <c r="G73" s="2">
        <v>36851.0</v>
      </c>
      <c r="H73" s="2">
        <f t="shared" si="1"/>
        <v>1706</v>
      </c>
    </row>
    <row r="74" ht="14.25" customHeight="1">
      <c r="A74" s="10">
        <v>45572.0</v>
      </c>
      <c r="B74" s="2" t="s">
        <v>31</v>
      </c>
      <c r="C74" s="2">
        <v>1939.0</v>
      </c>
      <c r="D74" s="2">
        <v>67.0</v>
      </c>
      <c r="E74" s="2">
        <v>187183.0</v>
      </c>
      <c r="F74" s="2">
        <v>6.25</v>
      </c>
      <c r="G74" s="2">
        <v>41215.0</v>
      </c>
      <c r="H74" s="2">
        <f t="shared" si="1"/>
        <v>1872</v>
      </c>
    </row>
    <row r="75" ht="14.25" customHeight="1">
      <c r="A75" s="10">
        <v>45572.0</v>
      </c>
      <c r="B75" s="2" t="s">
        <v>40</v>
      </c>
      <c r="C75" s="2">
        <v>1929.0</v>
      </c>
      <c r="D75" s="2">
        <v>267.0</v>
      </c>
      <c r="E75" s="2">
        <v>379363.0</v>
      </c>
      <c r="F75" s="2">
        <v>1.75</v>
      </c>
      <c r="G75" s="2">
        <v>43836.0</v>
      </c>
      <c r="H75" s="2">
        <f t="shared" si="1"/>
        <v>1662</v>
      </c>
    </row>
    <row r="76" ht="14.25" customHeight="1">
      <c r="A76" s="10">
        <v>45572.0</v>
      </c>
      <c r="B76" s="2" t="s">
        <v>14</v>
      </c>
      <c r="C76" s="2">
        <v>437.0</v>
      </c>
      <c r="D76" s="2">
        <v>330.0</v>
      </c>
      <c r="E76" s="2">
        <v>476486.0</v>
      </c>
      <c r="F76" s="2">
        <v>4.97</v>
      </c>
      <c r="G76" s="2">
        <v>4509.0</v>
      </c>
      <c r="H76" s="2">
        <f t="shared" si="1"/>
        <v>107</v>
      </c>
    </row>
    <row r="77" ht="14.25" customHeight="1">
      <c r="A77" s="10">
        <v>45572.0</v>
      </c>
      <c r="B77" s="2" t="s">
        <v>27</v>
      </c>
      <c r="C77" s="2">
        <v>307.0</v>
      </c>
      <c r="D77" s="2">
        <v>189.0</v>
      </c>
      <c r="E77" s="2">
        <v>117767.0</v>
      </c>
      <c r="F77" s="2">
        <v>9.3</v>
      </c>
      <c r="G77" s="2">
        <v>27822.0</v>
      </c>
      <c r="H77" s="2">
        <f t="shared" si="1"/>
        <v>118</v>
      </c>
    </row>
    <row r="78" ht="14.25" customHeight="1">
      <c r="A78" s="10">
        <v>45579.0</v>
      </c>
      <c r="B78" s="2" t="s">
        <v>31</v>
      </c>
      <c r="C78" s="2">
        <v>1527.0</v>
      </c>
      <c r="D78" s="2">
        <v>303.0</v>
      </c>
      <c r="E78" s="2">
        <v>388555.0</v>
      </c>
      <c r="F78" s="2">
        <v>8.9</v>
      </c>
      <c r="G78" s="2">
        <v>36397.0</v>
      </c>
      <c r="H78" s="2">
        <f t="shared" si="1"/>
        <v>1224</v>
      </c>
    </row>
    <row r="79" ht="14.25" customHeight="1">
      <c r="A79" s="10">
        <v>45579.0</v>
      </c>
      <c r="B79" s="2" t="s">
        <v>40</v>
      </c>
      <c r="C79" s="2">
        <v>643.0</v>
      </c>
      <c r="D79" s="2">
        <v>358.0</v>
      </c>
      <c r="E79" s="2">
        <v>157599.0</v>
      </c>
      <c r="F79" s="2">
        <v>3.88</v>
      </c>
      <c r="G79" s="2">
        <v>7285.0</v>
      </c>
      <c r="H79" s="2">
        <f t="shared" si="1"/>
        <v>285</v>
      </c>
    </row>
    <row r="80" ht="14.25" customHeight="1">
      <c r="A80" s="10">
        <v>45579.0</v>
      </c>
      <c r="B80" s="2" t="s">
        <v>14</v>
      </c>
      <c r="C80" s="2">
        <v>201.0</v>
      </c>
      <c r="D80" s="2">
        <v>221.0</v>
      </c>
      <c r="E80" s="2">
        <v>309772.0</v>
      </c>
      <c r="F80" s="2">
        <v>5.9</v>
      </c>
      <c r="G80" s="2">
        <v>33174.0</v>
      </c>
      <c r="H80" s="2">
        <f t="shared" si="1"/>
        <v>-20</v>
      </c>
    </row>
    <row r="81" ht="14.25" customHeight="1">
      <c r="A81" s="10">
        <v>45579.0</v>
      </c>
      <c r="B81" s="2" t="s">
        <v>27</v>
      </c>
      <c r="C81" s="2">
        <v>414.0</v>
      </c>
      <c r="D81" s="2">
        <v>47.0</v>
      </c>
      <c r="E81" s="2">
        <v>199178.0</v>
      </c>
      <c r="F81" s="2">
        <v>1.53</v>
      </c>
      <c r="G81" s="2">
        <v>6742.0</v>
      </c>
      <c r="H81" s="2">
        <f t="shared" si="1"/>
        <v>367</v>
      </c>
    </row>
    <row r="82" ht="14.25" customHeight="1">
      <c r="A82" s="10">
        <v>45586.0</v>
      </c>
      <c r="B82" s="2" t="s">
        <v>31</v>
      </c>
      <c r="C82" s="2">
        <v>703.0</v>
      </c>
      <c r="D82" s="2">
        <v>441.0</v>
      </c>
      <c r="E82" s="2">
        <v>357089.0</v>
      </c>
      <c r="F82" s="2">
        <v>6.5</v>
      </c>
      <c r="G82" s="2">
        <v>32478.0</v>
      </c>
      <c r="H82" s="2">
        <f t="shared" si="1"/>
        <v>262</v>
      </c>
    </row>
    <row r="83" ht="14.25" customHeight="1">
      <c r="A83" s="10">
        <v>45586.0</v>
      </c>
      <c r="B83" s="2" t="s">
        <v>40</v>
      </c>
      <c r="C83" s="2">
        <v>508.0</v>
      </c>
      <c r="D83" s="2">
        <v>69.0</v>
      </c>
      <c r="E83" s="2">
        <v>23492.0</v>
      </c>
      <c r="F83" s="2">
        <v>3.16</v>
      </c>
      <c r="G83" s="2">
        <v>42824.0</v>
      </c>
      <c r="H83" s="2">
        <f t="shared" si="1"/>
        <v>439</v>
      </c>
    </row>
    <row r="84" ht="14.25" customHeight="1">
      <c r="A84" s="10">
        <v>45586.0</v>
      </c>
      <c r="B84" s="2" t="s">
        <v>14</v>
      </c>
      <c r="C84" s="2">
        <v>697.0</v>
      </c>
      <c r="D84" s="2">
        <v>61.0</v>
      </c>
      <c r="E84" s="2">
        <v>258287.0</v>
      </c>
      <c r="F84" s="2">
        <v>8.25</v>
      </c>
      <c r="G84" s="2">
        <v>21208.0</v>
      </c>
      <c r="H84" s="2">
        <f t="shared" si="1"/>
        <v>636</v>
      </c>
    </row>
    <row r="85" ht="14.25" customHeight="1">
      <c r="A85" s="10">
        <v>45586.0</v>
      </c>
      <c r="B85" s="2" t="s">
        <v>27</v>
      </c>
      <c r="C85" s="2">
        <v>1707.0</v>
      </c>
      <c r="D85" s="2">
        <v>223.0</v>
      </c>
      <c r="E85" s="2">
        <v>256910.0</v>
      </c>
      <c r="F85" s="2">
        <v>5.41</v>
      </c>
      <c r="G85" s="2">
        <v>44321.0</v>
      </c>
      <c r="H85" s="2">
        <f t="shared" si="1"/>
        <v>1484</v>
      </c>
    </row>
    <row r="86" ht="14.25" customHeight="1">
      <c r="A86" s="10">
        <v>45593.0</v>
      </c>
      <c r="B86" s="2" t="s">
        <v>31</v>
      </c>
      <c r="C86" s="2">
        <v>642.0</v>
      </c>
      <c r="D86" s="2">
        <v>66.0</v>
      </c>
      <c r="E86" s="2">
        <v>346522.0</v>
      </c>
      <c r="F86" s="2">
        <v>5.85</v>
      </c>
      <c r="G86" s="2">
        <v>13116.0</v>
      </c>
      <c r="H86" s="2">
        <f t="shared" si="1"/>
        <v>576</v>
      </c>
    </row>
    <row r="87" ht="14.25" customHeight="1">
      <c r="A87" s="10">
        <v>45593.0</v>
      </c>
      <c r="B87" s="2" t="s">
        <v>40</v>
      </c>
      <c r="C87" s="2">
        <v>859.0</v>
      </c>
      <c r="D87" s="2">
        <v>473.0</v>
      </c>
      <c r="E87" s="2">
        <v>209987.0</v>
      </c>
      <c r="F87" s="2">
        <v>4.46</v>
      </c>
      <c r="G87" s="2">
        <v>30214.0</v>
      </c>
      <c r="H87" s="2">
        <f t="shared" si="1"/>
        <v>386</v>
      </c>
    </row>
    <row r="88" ht="14.25" customHeight="1">
      <c r="A88" s="10">
        <v>45593.0</v>
      </c>
      <c r="B88" s="2" t="s">
        <v>14</v>
      </c>
      <c r="C88" s="2">
        <v>191.0</v>
      </c>
      <c r="D88" s="2">
        <v>154.0</v>
      </c>
      <c r="E88" s="2">
        <v>240550.0</v>
      </c>
      <c r="F88" s="2">
        <v>5.22</v>
      </c>
      <c r="G88" s="2">
        <v>15827.0</v>
      </c>
      <c r="H88" s="2">
        <f t="shared" si="1"/>
        <v>37</v>
      </c>
    </row>
    <row r="89" ht="14.25" customHeight="1">
      <c r="A89" s="10">
        <v>45593.0</v>
      </c>
      <c r="B89" s="2" t="s">
        <v>27</v>
      </c>
      <c r="C89" s="2">
        <v>1814.0</v>
      </c>
      <c r="D89" s="2">
        <v>157.0</v>
      </c>
      <c r="E89" s="2">
        <v>305827.0</v>
      </c>
      <c r="F89" s="2">
        <v>1.99</v>
      </c>
      <c r="G89" s="2">
        <v>46643.0</v>
      </c>
      <c r="H89" s="2">
        <f t="shared" si="1"/>
        <v>1657</v>
      </c>
    </row>
    <row r="90" ht="14.25" customHeight="1">
      <c r="A90" s="10">
        <v>45600.0</v>
      </c>
      <c r="B90" s="2" t="s">
        <v>31</v>
      </c>
      <c r="C90" s="2">
        <v>1466.0</v>
      </c>
      <c r="D90" s="2">
        <v>69.0</v>
      </c>
      <c r="E90" s="2">
        <v>54935.0</v>
      </c>
      <c r="F90" s="2">
        <v>6.85</v>
      </c>
      <c r="G90" s="2">
        <v>36484.0</v>
      </c>
      <c r="H90" s="2">
        <f t="shared" si="1"/>
        <v>1397</v>
      </c>
    </row>
    <row r="91" ht="14.25" customHeight="1">
      <c r="A91" s="10">
        <v>45600.0</v>
      </c>
      <c r="B91" s="2" t="s">
        <v>40</v>
      </c>
      <c r="C91" s="2">
        <v>947.0</v>
      </c>
      <c r="D91" s="2">
        <v>407.0</v>
      </c>
      <c r="E91" s="2">
        <v>319186.0</v>
      </c>
      <c r="F91" s="2">
        <v>3.32</v>
      </c>
      <c r="G91" s="2">
        <v>4996.0</v>
      </c>
      <c r="H91" s="2">
        <f t="shared" si="1"/>
        <v>540</v>
      </c>
    </row>
    <row r="92" ht="14.25" customHeight="1">
      <c r="A92" s="10">
        <v>45600.0</v>
      </c>
      <c r="B92" s="2" t="s">
        <v>14</v>
      </c>
      <c r="C92" s="2">
        <v>1821.0</v>
      </c>
      <c r="D92" s="2">
        <v>218.0</v>
      </c>
      <c r="E92" s="2">
        <v>439080.0</v>
      </c>
      <c r="F92" s="2">
        <v>5.68</v>
      </c>
      <c r="G92" s="2">
        <v>36095.0</v>
      </c>
      <c r="H92" s="2">
        <f t="shared" si="1"/>
        <v>1603</v>
      </c>
    </row>
    <row r="93" ht="14.25" customHeight="1">
      <c r="A93" s="10">
        <v>45600.0</v>
      </c>
      <c r="B93" s="2" t="s">
        <v>27</v>
      </c>
      <c r="C93" s="2">
        <v>1507.0</v>
      </c>
      <c r="D93" s="2">
        <v>463.0</v>
      </c>
      <c r="E93" s="2">
        <v>258944.0</v>
      </c>
      <c r="F93" s="2">
        <v>6.08</v>
      </c>
      <c r="G93" s="2">
        <v>16443.0</v>
      </c>
      <c r="H93" s="2">
        <f t="shared" si="1"/>
        <v>1044</v>
      </c>
    </row>
    <row r="94" ht="14.25" customHeight="1">
      <c r="A94" s="10">
        <v>45607.0</v>
      </c>
      <c r="B94" s="2" t="s">
        <v>31</v>
      </c>
      <c r="C94" s="2">
        <v>1075.0</v>
      </c>
      <c r="D94" s="2">
        <v>173.0</v>
      </c>
      <c r="E94" s="2">
        <v>51395.0</v>
      </c>
      <c r="F94" s="2">
        <v>4.66</v>
      </c>
      <c r="G94" s="2">
        <v>47812.0</v>
      </c>
      <c r="H94" s="2">
        <f t="shared" si="1"/>
        <v>902</v>
      </c>
    </row>
    <row r="95" ht="14.25" customHeight="1">
      <c r="A95" s="10">
        <v>45607.0</v>
      </c>
      <c r="B95" s="2" t="s">
        <v>40</v>
      </c>
      <c r="C95" s="2">
        <v>171.0</v>
      </c>
      <c r="D95" s="2">
        <v>277.0</v>
      </c>
      <c r="E95" s="2">
        <v>309483.0</v>
      </c>
      <c r="F95" s="2">
        <v>8.7</v>
      </c>
      <c r="G95" s="2">
        <v>38452.0</v>
      </c>
      <c r="H95" s="2">
        <f t="shared" si="1"/>
        <v>-106</v>
      </c>
    </row>
    <row r="96" ht="14.25" customHeight="1">
      <c r="A96" s="10">
        <v>45607.0</v>
      </c>
      <c r="B96" s="2" t="s">
        <v>14</v>
      </c>
      <c r="C96" s="2">
        <v>1487.0</v>
      </c>
      <c r="D96" s="2">
        <v>337.0</v>
      </c>
      <c r="E96" s="2">
        <v>87305.0</v>
      </c>
      <c r="F96" s="2">
        <v>2.46</v>
      </c>
      <c r="G96" s="2">
        <v>30428.0</v>
      </c>
      <c r="H96" s="2">
        <f t="shared" si="1"/>
        <v>1150</v>
      </c>
    </row>
    <row r="97" ht="14.25" customHeight="1">
      <c r="A97" s="10">
        <v>45607.0</v>
      </c>
      <c r="B97" s="2" t="s">
        <v>27</v>
      </c>
      <c r="C97" s="2">
        <v>454.0</v>
      </c>
      <c r="D97" s="2">
        <v>105.0</v>
      </c>
      <c r="E97" s="2">
        <v>121091.0</v>
      </c>
      <c r="F97" s="2">
        <v>7.97</v>
      </c>
      <c r="G97" s="2">
        <v>9269.0</v>
      </c>
      <c r="H97" s="2">
        <f t="shared" si="1"/>
        <v>349</v>
      </c>
    </row>
    <row r="98" ht="14.25" customHeight="1">
      <c r="A98" s="10">
        <v>45614.0</v>
      </c>
      <c r="B98" s="2" t="s">
        <v>31</v>
      </c>
      <c r="C98" s="2">
        <v>187.0</v>
      </c>
      <c r="D98" s="2">
        <v>236.0</v>
      </c>
      <c r="E98" s="2">
        <v>51087.0</v>
      </c>
      <c r="F98" s="2">
        <v>9.41</v>
      </c>
      <c r="G98" s="2">
        <v>29533.0</v>
      </c>
      <c r="H98" s="2">
        <f t="shared" si="1"/>
        <v>-49</v>
      </c>
    </row>
    <row r="99" ht="14.25" customHeight="1">
      <c r="A99" s="10">
        <v>45614.0</v>
      </c>
      <c r="B99" s="2" t="s">
        <v>40</v>
      </c>
      <c r="C99" s="2">
        <v>513.0</v>
      </c>
      <c r="D99" s="2">
        <v>441.0</v>
      </c>
      <c r="E99" s="2">
        <v>338847.0</v>
      </c>
      <c r="F99" s="2">
        <v>2.68</v>
      </c>
      <c r="G99" s="2">
        <v>39997.0</v>
      </c>
      <c r="H99" s="2">
        <f t="shared" si="1"/>
        <v>72</v>
      </c>
    </row>
    <row r="100" ht="14.25" customHeight="1">
      <c r="A100" s="10">
        <v>45614.0</v>
      </c>
      <c r="B100" s="2" t="s">
        <v>14</v>
      </c>
      <c r="C100" s="2">
        <v>628.0</v>
      </c>
      <c r="D100" s="2">
        <v>183.0</v>
      </c>
      <c r="E100" s="2">
        <v>487523.0</v>
      </c>
      <c r="F100" s="2">
        <v>7.32</v>
      </c>
      <c r="G100" s="2">
        <v>5391.0</v>
      </c>
      <c r="H100" s="2">
        <f t="shared" si="1"/>
        <v>445</v>
      </c>
    </row>
    <row r="101" ht="14.25" customHeight="1">
      <c r="A101" s="10">
        <v>45614.0</v>
      </c>
      <c r="B101" s="2" t="s">
        <v>27</v>
      </c>
      <c r="C101" s="2">
        <v>278.0</v>
      </c>
      <c r="D101" s="2">
        <v>218.0</v>
      </c>
      <c r="E101" s="2">
        <v>301695.0</v>
      </c>
      <c r="F101" s="2">
        <v>4.68</v>
      </c>
      <c r="G101" s="2">
        <v>22373.0</v>
      </c>
      <c r="H101" s="2">
        <f t="shared" si="1"/>
        <v>60</v>
      </c>
    </row>
    <row r="102" ht="14.25" customHeight="1">
      <c r="A102" s="10">
        <v>45621.0</v>
      </c>
      <c r="B102" s="2" t="s">
        <v>31</v>
      </c>
      <c r="C102" s="2">
        <v>1854.0</v>
      </c>
      <c r="D102" s="2">
        <v>161.0</v>
      </c>
      <c r="E102" s="2">
        <v>282466.0</v>
      </c>
      <c r="F102" s="2">
        <v>5.17</v>
      </c>
      <c r="G102" s="2">
        <v>1810.0</v>
      </c>
      <c r="H102" s="2">
        <f t="shared" si="1"/>
        <v>1693</v>
      </c>
    </row>
    <row r="103" ht="14.25" customHeight="1">
      <c r="A103" s="10">
        <v>45621.0</v>
      </c>
      <c r="B103" s="2" t="s">
        <v>40</v>
      </c>
      <c r="C103" s="2">
        <v>1710.0</v>
      </c>
      <c r="D103" s="2">
        <v>378.0</v>
      </c>
      <c r="E103" s="2">
        <v>336661.0</v>
      </c>
      <c r="F103" s="2">
        <v>6.2</v>
      </c>
      <c r="G103" s="2">
        <v>28498.0</v>
      </c>
      <c r="H103" s="2">
        <f t="shared" si="1"/>
        <v>1332</v>
      </c>
    </row>
    <row r="104" ht="14.25" customHeight="1">
      <c r="A104" s="10">
        <v>45621.0</v>
      </c>
      <c r="B104" s="2" t="s">
        <v>14</v>
      </c>
      <c r="C104" s="2">
        <v>330.0</v>
      </c>
      <c r="D104" s="2">
        <v>232.0</v>
      </c>
      <c r="E104" s="2">
        <v>88455.0</v>
      </c>
      <c r="F104" s="2">
        <v>2.69</v>
      </c>
      <c r="G104" s="2">
        <v>39530.0</v>
      </c>
      <c r="H104" s="2">
        <f t="shared" si="1"/>
        <v>98</v>
      </c>
    </row>
    <row r="105" ht="14.25" customHeight="1">
      <c r="A105" s="10">
        <v>45621.0</v>
      </c>
      <c r="B105" s="2" t="s">
        <v>27</v>
      </c>
      <c r="C105" s="2">
        <v>1293.0</v>
      </c>
      <c r="D105" s="2">
        <v>408.0</v>
      </c>
      <c r="E105" s="2">
        <v>62535.0</v>
      </c>
      <c r="F105" s="2">
        <v>8.9</v>
      </c>
      <c r="G105" s="2">
        <v>37876.0</v>
      </c>
      <c r="H105" s="2">
        <f t="shared" si="1"/>
        <v>885</v>
      </c>
    </row>
    <row r="106" ht="14.25" customHeight="1">
      <c r="A106" s="10">
        <v>45628.0</v>
      </c>
      <c r="B106" s="2" t="s">
        <v>31</v>
      </c>
      <c r="C106" s="2">
        <v>1696.0</v>
      </c>
      <c r="D106" s="2">
        <v>71.0</v>
      </c>
      <c r="E106" s="2">
        <v>421957.0</v>
      </c>
      <c r="F106" s="2">
        <v>3.79</v>
      </c>
      <c r="G106" s="2">
        <v>36103.0</v>
      </c>
      <c r="H106" s="2">
        <f t="shared" si="1"/>
        <v>1625</v>
      </c>
    </row>
    <row r="107" ht="14.25" customHeight="1">
      <c r="A107" s="10">
        <v>45628.0</v>
      </c>
      <c r="B107" s="2" t="s">
        <v>40</v>
      </c>
      <c r="C107" s="2">
        <v>1902.0</v>
      </c>
      <c r="D107" s="2">
        <v>196.0</v>
      </c>
      <c r="E107" s="2">
        <v>470269.0</v>
      </c>
      <c r="F107" s="2">
        <v>4.79</v>
      </c>
      <c r="G107" s="2">
        <v>26103.0</v>
      </c>
      <c r="H107" s="2">
        <f t="shared" si="1"/>
        <v>1706</v>
      </c>
    </row>
    <row r="108" ht="14.25" customHeight="1">
      <c r="A108" s="10">
        <v>45628.0</v>
      </c>
      <c r="B108" s="2" t="s">
        <v>14</v>
      </c>
      <c r="C108" s="2">
        <v>1441.0</v>
      </c>
      <c r="D108" s="2">
        <v>268.0</v>
      </c>
      <c r="E108" s="2">
        <v>309904.0</v>
      </c>
      <c r="F108" s="2">
        <v>6.37</v>
      </c>
      <c r="G108" s="2">
        <v>3455.0</v>
      </c>
      <c r="H108" s="2">
        <f t="shared" si="1"/>
        <v>1173</v>
      </c>
    </row>
    <row r="109" ht="14.25" customHeight="1">
      <c r="A109" s="10">
        <v>45628.0</v>
      </c>
      <c r="B109" s="2" t="s">
        <v>27</v>
      </c>
      <c r="C109" s="2">
        <v>452.0</v>
      </c>
      <c r="D109" s="2">
        <v>161.0</v>
      </c>
      <c r="E109" s="2">
        <v>221274.0</v>
      </c>
      <c r="F109" s="2">
        <v>2.65</v>
      </c>
      <c r="G109" s="2">
        <v>40888.0</v>
      </c>
      <c r="H109" s="2">
        <f t="shared" si="1"/>
        <v>291</v>
      </c>
    </row>
    <row r="110" ht="14.25" customHeight="1">
      <c r="A110" s="10">
        <v>45635.0</v>
      </c>
      <c r="B110" s="2" t="s">
        <v>31</v>
      </c>
      <c r="C110" s="2">
        <v>1494.0</v>
      </c>
      <c r="D110" s="2">
        <v>375.0</v>
      </c>
      <c r="E110" s="2">
        <v>220616.0</v>
      </c>
      <c r="F110" s="2">
        <v>1.81</v>
      </c>
      <c r="G110" s="2">
        <v>22724.0</v>
      </c>
      <c r="H110" s="2">
        <f t="shared" si="1"/>
        <v>1119</v>
      </c>
    </row>
    <row r="111" ht="14.25" customHeight="1">
      <c r="A111" s="10">
        <v>45635.0</v>
      </c>
      <c r="B111" s="2" t="s">
        <v>40</v>
      </c>
      <c r="C111" s="2">
        <v>1514.0</v>
      </c>
      <c r="D111" s="2">
        <v>141.0</v>
      </c>
      <c r="E111" s="2">
        <v>35842.0</v>
      </c>
      <c r="F111" s="2">
        <v>7.47</v>
      </c>
      <c r="G111" s="2">
        <v>18601.0</v>
      </c>
      <c r="H111" s="2">
        <f t="shared" si="1"/>
        <v>1373</v>
      </c>
    </row>
    <row r="112" ht="14.25" customHeight="1">
      <c r="A112" s="10">
        <v>45635.0</v>
      </c>
      <c r="B112" s="2" t="s">
        <v>14</v>
      </c>
      <c r="C112" s="2">
        <v>1937.0</v>
      </c>
      <c r="D112" s="2">
        <v>210.0</v>
      </c>
      <c r="E112" s="2">
        <v>20607.0</v>
      </c>
      <c r="F112" s="2">
        <v>4.2</v>
      </c>
      <c r="G112" s="2">
        <v>20861.0</v>
      </c>
      <c r="H112" s="2">
        <f t="shared" si="1"/>
        <v>1727</v>
      </c>
    </row>
    <row r="113" ht="14.25" customHeight="1">
      <c r="A113" s="10">
        <v>45635.0</v>
      </c>
      <c r="B113" s="2" t="s">
        <v>27</v>
      </c>
      <c r="C113" s="2">
        <v>736.0</v>
      </c>
      <c r="D113" s="2">
        <v>163.0</v>
      </c>
      <c r="E113" s="2">
        <v>451894.0</v>
      </c>
      <c r="F113" s="2">
        <v>5.43</v>
      </c>
      <c r="G113" s="2">
        <v>46625.0</v>
      </c>
      <c r="H113" s="2">
        <f t="shared" si="1"/>
        <v>573</v>
      </c>
    </row>
    <row r="114" ht="14.25" customHeight="1">
      <c r="A114" s="10">
        <v>45642.0</v>
      </c>
      <c r="B114" s="2" t="s">
        <v>31</v>
      </c>
      <c r="C114" s="2">
        <v>1502.0</v>
      </c>
      <c r="D114" s="2">
        <v>70.0</v>
      </c>
      <c r="E114" s="2">
        <v>465553.0</v>
      </c>
      <c r="F114" s="2">
        <v>3.32</v>
      </c>
      <c r="G114" s="2">
        <v>20692.0</v>
      </c>
      <c r="H114" s="2">
        <f t="shared" si="1"/>
        <v>1432</v>
      </c>
    </row>
    <row r="115" ht="14.25" customHeight="1">
      <c r="A115" s="10">
        <v>45642.0</v>
      </c>
      <c r="B115" s="2" t="s">
        <v>40</v>
      </c>
      <c r="C115" s="2">
        <v>1623.0</v>
      </c>
      <c r="D115" s="2">
        <v>246.0</v>
      </c>
      <c r="E115" s="2">
        <v>415815.0</v>
      </c>
      <c r="F115" s="2">
        <v>8.11</v>
      </c>
      <c r="G115" s="2">
        <v>18656.0</v>
      </c>
      <c r="H115" s="2">
        <f t="shared" si="1"/>
        <v>1377</v>
      </c>
    </row>
    <row r="116" ht="14.25" customHeight="1">
      <c r="A116" s="10">
        <v>45642.0</v>
      </c>
      <c r="B116" s="2" t="s">
        <v>14</v>
      </c>
      <c r="C116" s="2">
        <v>1592.0</v>
      </c>
      <c r="D116" s="2">
        <v>233.0</v>
      </c>
      <c r="E116" s="2">
        <v>327183.0</v>
      </c>
      <c r="F116" s="2">
        <v>6.66</v>
      </c>
      <c r="G116" s="2">
        <v>13316.0</v>
      </c>
      <c r="H116" s="2">
        <f t="shared" si="1"/>
        <v>1359</v>
      </c>
    </row>
    <row r="117" ht="14.25" customHeight="1">
      <c r="A117" s="10">
        <v>45642.0</v>
      </c>
      <c r="B117" s="2" t="s">
        <v>27</v>
      </c>
      <c r="C117" s="2">
        <v>1004.0</v>
      </c>
      <c r="D117" s="2">
        <v>128.0</v>
      </c>
      <c r="E117" s="2">
        <v>488901.0</v>
      </c>
      <c r="F117" s="2">
        <v>8.09</v>
      </c>
      <c r="G117" s="2">
        <v>49558.0</v>
      </c>
      <c r="H117" s="2">
        <f t="shared" si="1"/>
        <v>876</v>
      </c>
    </row>
    <row r="118" ht="14.25" customHeight="1">
      <c r="A118" s="10">
        <v>45649.0</v>
      </c>
      <c r="B118" s="2" t="s">
        <v>31</v>
      </c>
      <c r="C118" s="2">
        <v>1092.0</v>
      </c>
      <c r="D118" s="2">
        <v>408.0</v>
      </c>
      <c r="E118" s="2">
        <v>280795.0</v>
      </c>
      <c r="F118" s="2">
        <v>8.44</v>
      </c>
      <c r="G118" s="2">
        <v>4683.0</v>
      </c>
      <c r="H118" s="2">
        <f t="shared" si="1"/>
        <v>684</v>
      </c>
    </row>
    <row r="119" ht="14.25" customHeight="1">
      <c r="A119" s="10">
        <v>45649.0</v>
      </c>
      <c r="B119" s="2" t="s">
        <v>40</v>
      </c>
      <c r="C119" s="2">
        <v>1155.0</v>
      </c>
      <c r="D119" s="2">
        <v>425.0</v>
      </c>
      <c r="E119" s="2">
        <v>93347.0</v>
      </c>
      <c r="F119" s="2">
        <v>2.02</v>
      </c>
      <c r="G119" s="2">
        <v>47502.0</v>
      </c>
      <c r="H119" s="2">
        <f t="shared" si="1"/>
        <v>730</v>
      </c>
    </row>
    <row r="120" ht="14.25" customHeight="1">
      <c r="A120" s="10">
        <v>45649.0</v>
      </c>
      <c r="B120" s="2" t="s">
        <v>14</v>
      </c>
      <c r="C120" s="2">
        <v>1137.0</v>
      </c>
      <c r="D120" s="2">
        <v>226.0</v>
      </c>
      <c r="E120" s="2">
        <v>81119.0</v>
      </c>
      <c r="F120" s="2">
        <v>7.74</v>
      </c>
      <c r="G120" s="2">
        <v>35359.0</v>
      </c>
      <c r="H120" s="2">
        <f t="shared" si="1"/>
        <v>911</v>
      </c>
    </row>
    <row r="121" ht="14.25" customHeight="1">
      <c r="A121" s="10">
        <v>45649.0</v>
      </c>
      <c r="B121" s="2" t="s">
        <v>27</v>
      </c>
      <c r="C121" s="2">
        <v>1900.0</v>
      </c>
      <c r="D121" s="2">
        <v>311.0</v>
      </c>
      <c r="E121" s="2">
        <v>25177.0</v>
      </c>
      <c r="F121" s="2">
        <v>2.89</v>
      </c>
      <c r="G121" s="2">
        <v>14154.0</v>
      </c>
      <c r="H121" s="2">
        <f t="shared" si="1"/>
        <v>1589</v>
      </c>
    </row>
    <row r="122" ht="14.25" customHeight="1">
      <c r="A122" s="10">
        <v>45656.0</v>
      </c>
      <c r="B122" s="2" t="s">
        <v>31</v>
      </c>
      <c r="C122" s="2">
        <v>1814.0</v>
      </c>
      <c r="D122" s="2">
        <v>49.0</v>
      </c>
      <c r="E122" s="2">
        <v>140804.0</v>
      </c>
      <c r="F122" s="2">
        <v>1.76</v>
      </c>
      <c r="G122" s="2">
        <v>4313.0</v>
      </c>
      <c r="H122" s="2">
        <f t="shared" si="1"/>
        <v>1765</v>
      </c>
    </row>
    <row r="123" ht="14.25" customHeight="1">
      <c r="A123" s="10">
        <v>45656.0</v>
      </c>
      <c r="B123" s="2" t="s">
        <v>40</v>
      </c>
      <c r="C123" s="2">
        <v>1980.0</v>
      </c>
      <c r="D123" s="2">
        <v>204.0</v>
      </c>
      <c r="E123" s="2">
        <v>379431.0</v>
      </c>
      <c r="F123" s="2">
        <v>3.09</v>
      </c>
      <c r="G123" s="2">
        <v>25140.0</v>
      </c>
      <c r="H123" s="2">
        <f t="shared" si="1"/>
        <v>1776</v>
      </c>
    </row>
    <row r="124" ht="14.25" customHeight="1">
      <c r="A124" s="10">
        <v>45656.0</v>
      </c>
      <c r="B124" s="2" t="s">
        <v>14</v>
      </c>
      <c r="C124" s="2">
        <v>1786.0</v>
      </c>
      <c r="D124" s="2">
        <v>257.0</v>
      </c>
      <c r="E124" s="2">
        <v>274831.0</v>
      </c>
      <c r="F124" s="2">
        <v>4.68</v>
      </c>
      <c r="G124" s="2">
        <v>9118.0</v>
      </c>
      <c r="H124" s="2">
        <f t="shared" si="1"/>
        <v>1529</v>
      </c>
    </row>
    <row r="125" ht="14.25" customHeight="1">
      <c r="A125" s="10">
        <v>45656.0</v>
      </c>
      <c r="B125" s="2" t="s">
        <v>27</v>
      </c>
      <c r="C125" s="2">
        <v>1495.0</v>
      </c>
      <c r="D125" s="2">
        <v>35.0</v>
      </c>
      <c r="E125" s="2">
        <v>136845.0</v>
      </c>
      <c r="F125" s="2">
        <v>4.48</v>
      </c>
      <c r="G125" s="2">
        <v>39931.0</v>
      </c>
      <c r="H125" s="2">
        <f t="shared" si="1"/>
        <v>1460</v>
      </c>
    </row>
    <row r="126" ht="14.25" customHeight="1">
      <c r="A126" s="10">
        <v>45663.0</v>
      </c>
      <c r="B126" s="2" t="s">
        <v>31</v>
      </c>
      <c r="C126" s="2">
        <v>1013.0</v>
      </c>
      <c r="D126" s="2">
        <v>110.0</v>
      </c>
      <c r="E126" s="2">
        <v>466382.0</v>
      </c>
      <c r="F126" s="2">
        <v>5.3</v>
      </c>
      <c r="G126" s="2">
        <v>37132.0</v>
      </c>
      <c r="H126" s="2">
        <f t="shared" si="1"/>
        <v>903</v>
      </c>
    </row>
    <row r="127" ht="14.25" customHeight="1">
      <c r="A127" s="10">
        <v>45663.0</v>
      </c>
      <c r="B127" s="2" t="s">
        <v>40</v>
      </c>
      <c r="C127" s="2">
        <v>816.0</v>
      </c>
      <c r="D127" s="2">
        <v>196.0</v>
      </c>
      <c r="E127" s="2">
        <v>95728.0</v>
      </c>
      <c r="F127" s="2">
        <v>8.2</v>
      </c>
      <c r="G127" s="2">
        <v>17951.0</v>
      </c>
      <c r="H127" s="2">
        <f t="shared" si="1"/>
        <v>620</v>
      </c>
    </row>
    <row r="128" ht="14.25" customHeight="1">
      <c r="A128" s="10">
        <v>45663.0</v>
      </c>
      <c r="B128" s="2" t="s">
        <v>14</v>
      </c>
      <c r="C128" s="2">
        <v>1633.0</v>
      </c>
      <c r="D128" s="2">
        <v>445.0</v>
      </c>
      <c r="E128" s="2">
        <v>371156.0</v>
      </c>
      <c r="F128" s="2">
        <v>2.22</v>
      </c>
      <c r="G128" s="2">
        <v>2798.0</v>
      </c>
      <c r="H128" s="2">
        <f t="shared" si="1"/>
        <v>1188</v>
      </c>
    </row>
    <row r="129" ht="14.25" customHeight="1">
      <c r="A129" s="10">
        <v>45663.0</v>
      </c>
      <c r="B129" s="2" t="s">
        <v>27</v>
      </c>
      <c r="C129" s="2">
        <v>891.0</v>
      </c>
      <c r="D129" s="2">
        <v>45.0</v>
      </c>
      <c r="E129" s="2">
        <v>95410.0</v>
      </c>
      <c r="F129" s="2">
        <v>8.33</v>
      </c>
      <c r="G129" s="2">
        <v>15045.0</v>
      </c>
      <c r="H129" s="2">
        <f t="shared" si="1"/>
        <v>846</v>
      </c>
    </row>
    <row r="130" ht="14.25" customHeight="1">
      <c r="A130" s="10">
        <v>45670.0</v>
      </c>
      <c r="B130" s="2" t="s">
        <v>31</v>
      </c>
      <c r="C130" s="2">
        <v>1855.0</v>
      </c>
      <c r="D130" s="2">
        <v>133.0</v>
      </c>
      <c r="E130" s="2">
        <v>349413.0</v>
      </c>
      <c r="F130" s="2">
        <v>3.3</v>
      </c>
      <c r="G130" s="2">
        <v>14548.0</v>
      </c>
      <c r="H130" s="2">
        <f t="shared" si="1"/>
        <v>1722</v>
      </c>
    </row>
    <row r="131" ht="14.25" customHeight="1">
      <c r="A131" s="10">
        <v>45670.0</v>
      </c>
      <c r="B131" s="2" t="s">
        <v>40</v>
      </c>
      <c r="C131" s="2">
        <v>651.0</v>
      </c>
      <c r="D131" s="2">
        <v>353.0</v>
      </c>
      <c r="E131" s="2">
        <v>224699.0</v>
      </c>
      <c r="F131" s="2">
        <v>5.61</v>
      </c>
      <c r="G131" s="2">
        <v>45708.0</v>
      </c>
      <c r="H131" s="2">
        <f t="shared" si="1"/>
        <v>298</v>
      </c>
    </row>
    <row r="132" ht="14.25" customHeight="1">
      <c r="A132" s="10">
        <v>45670.0</v>
      </c>
      <c r="B132" s="2" t="s">
        <v>14</v>
      </c>
      <c r="C132" s="2">
        <v>118.0</v>
      </c>
      <c r="D132" s="2">
        <v>262.0</v>
      </c>
      <c r="E132" s="2">
        <v>487896.0</v>
      </c>
      <c r="F132" s="2">
        <v>2.56</v>
      </c>
      <c r="G132" s="2">
        <v>12350.0</v>
      </c>
      <c r="H132" s="2">
        <f t="shared" si="1"/>
        <v>-144</v>
      </c>
    </row>
    <row r="133" ht="14.25" customHeight="1">
      <c r="A133" s="10">
        <v>45670.0</v>
      </c>
      <c r="B133" s="2" t="s">
        <v>27</v>
      </c>
      <c r="C133" s="2">
        <v>1331.0</v>
      </c>
      <c r="D133" s="2">
        <v>430.0</v>
      </c>
      <c r="E133" s="2">
        <v>14437.0</v>
      </c>
      <c r="F133" s="2">
        <v>3.29</v>
      </c>
      <c r="G133" s="2">
        <v>40868.0</v>
      </c>
      <c r="H133" s="2">
        <f t="shared" si="1"/>
        <v>901</v>
      </c>
    </row>
    <row r="134" ht="14.25" customHeight="1">
      <c r="A134" s="10">
        <v>45677.0</v>
      </c>
      <c r="B134" s="2" t="s">
        <v>31</v>
      </c>
      <c r="C134" s="2">
        <v>1748.0</v>
      </c>
      <c r="D134" s="2">
        <v>176.0</v>
      </c>
      <c r="E134" s="2">
        <v>383681.0</v>
      </c>
      <c r="F134" s="2">
        <v>9.24</v>
      </c>
      <c r="G134" s="2">
        <v>43122.0</v>
      </c>
      <c r="H134" s="2">
        <f t="shared" si="1"/>
        <v>1572</v>
      </c>
    </row>
    <row r="135" ht="14.25" customHeight="1">
      <c r="A135" s="10">
        <v>45677.0</v>
      </c>
      <c r="B135" s="2" t="s">
        <v>40</v>
      </c>
      <c r="C135" s="2">
        <v>663.0</v>
      </c>
      <c r="D135" s="2">
        <v>236.0</v>
      </c>
      <c r="E135" s="2">
        <v>479490.0</v>
      </c>
      <c r="F135" s="2">
        <v>4.51</v>
      </c>
      <c r="G135" s="2">
        <v>23853.0</v>
      </c>
      <c r="H135" s="2">
        <f t="shared" si="1"/>
        <v>427</v>
      </c>
    </row>
    <row r="136" ht="14.25" customHeight="1">
      <c r="A136" s="10">
        <v>45677.0</v>
      </c>
      <c r="B136" s="2" t="s">
        <v>14</v>
      </c>
      <c r="C136" s="2">
        <v>1040.0</v>
      </c>
      <c r="D136" s="2">
        <v>149.0</v>
      </c>
      <c r="E136" s="2">
        <v>124404.0</v>
      </c>
      <c r="F136" s="2">
        <v>5.23</v>
      </c>
      <c r="G136" s="2">
        <v>45380.0</v>
      </c>
      <c r="H136" s="2">
        <f t="shared" si="1"/>
        <v>891</v>
      </c>
    </row>
    <row r="137" ht="14.25" customHeight="1">
      <c r="A137" s="10">
        <v>45677.0</v>
      </c>
      <c r="B137" s="2" t="s">
        <v>27</v>
      </c>
      <c r="C137" s="2">
        <v>1166.0</v>
      </c>
      <c r="D137" s="2">
        <v>442.0</v>
      </c>
      <c r="E137" s="2">
        <v>336949.0</v>
      </c>
      <c r="F137" s="2">
        <v>4.68</v>
      </c>
      <c r="G137" s="2">
        <v>7705.0</v>
      </c>
      <c r="H137" s="2">
        <f t="shared" si="1"/>
        <v>724</v>
      </c>
    </row>
    <row r="138" ht="14.25" customHeight="1">
      <c r="A138" s="10">
        <v>45684.0</v>
      </c>
      <c r="B138" s="2" t="s">
        <v>31</v>
      </c>
      <c r="C138" s="2">
        <v>115.0</v>
      </c>
      <c r="D138" s="2">
        <v>281.0</v>
      </c>
      <c r="E138" s="2">
        <v>357265.0</v>
      </c>
      <c r="F138" s="2">
        <v>9.23</v>
      </c>
      <c r="G138" s="2">
        <v>25525.0</v>
      </c>
      <c r="H138" s="2">
        <f t="shared" si="1"/>
        <v>-166</v>
      </c>
    </row>
    <row r="139" ht="14.25" customHeight="1">
      <c r="A139" s="10">
        <v>45684.0</v>
      </c>
      <c r="B139" s="2" t="s">
        <v>40</v>
      </c>
      <c r="C139" s="2">
        <v>1249.0</v>
      </c>
      <c r="D139" s="2">
        <v>351.0</v>
      </c>
      <c r="E139" s="2">
        <v>321307.0</v>
      </c>
      <c r="F139" s="2">
        <v>6.37</v>
      </c>
      <c r="G139" s="2">
        <v>20560.0</v>
      </c>
      <c r="H139" s="2">
        <f t="shared" si="1"/>
        <v>898</v>
      </c>
    </row>
    <row r="140" ht="14.25" customHeight="1">
      <c r="A140" s="10">
        <v>45684.0</v>
      </c>
      <c r="B140" s="2" t="s">
        <v>14</v>
      </c>
      <c r="C140" s="2">
        <v>1501.0</v>
      </c>
      <c r="D140" s="2">
        <v>75.0</v>
      </c>
      <c r="E140" s="2">
        <v>262569.0</v>
      </c>
      <c r="F140" s="2">
        <v>2.01</v>
      </c>
      <c r="G140" s="2">
        <v>19119.0</v>
      </c>
      <c r="H140" s="2">
        <f t="shared" si="1"/>
        <v>1426</v>
      </c>
    </row>
    <row r="141" ht="14.25" customHeight="1">
      <c r="A141" s="10">
        <v>45684.0</v>
      </c>
      <c r="B141" s="2" t="s">
        <v>27</v>
      </c>
      <c r="C141" s="2">
        <v>1411.0</v>
      </c>
      <c r="D141" s="2">
        <v>186.0</v>
      </c>
      <c r="E141" s="2">
        <v>461669.0</v>
      </c>
      <c r="F141" s="2">
        <v>3.72</v>
      </c>
      <c r="G141" s="2">
        <v>43999.0</v>
      </c>
      <c r="H141" s="2">
        <f t="shared" si="1"/>
        <v>1225</v>
      </c>
    </row>
    <row r="142" ht="14.25" customHeight="1">
      <c r="A142" s="10">
        <v>45691.0</v>
      </c>
      <c r="B142" s="2" t="s">
        <v>31</v>
      </c>
      <c r="C142" s="2">
        <v>1556.0</v>
      </c>
      <c r="D142" s="2">
        <v>476.0</v>
      </c>
      <c r="E142" s="2">
        <v>351556.0</v>
      </c>
      <c r="F142" s="2">
        <v>3.89</v>
      </c>
      <c r="G142" s="2">
        <v>10825.0</v>
      </c>
      <c r="H142" s="2">
        <f t="shared" si="1"/>
        <v>1080</v>
      </c>
    </row>
    <row r="143" ht="14.25" customHeight="1">
      <c r="A143" s="10">
        <v>45691.0</v>
      </c>
      <c r="B143" s="2" t="s">
        <v>40</v>
      </c>
      <c r="C143" s="2">
        <v>1159.0</v>
      </c>
      <c r="D143" s="2">
        <v>411.0</v>
      </c>
      <c r="E143" s="2">
        <v>135987.0</v>
      </c>
      <c r="F143" s="2">
        <v>8.7</v>
      </c>
      <c r="G143" s="2">
        <v>40323.0</v>
      </c>
      <c r="H143" s="2">
        <f t="shared" si="1"/>
        <v>748</v>
      </c>
    </row>
    <row r="144" ht="14.25" customHeight="1">
      <c r="A144" s="10">
        <v>45691.0</v>
      </c>
      <c r="B144" s="2" t="s">
        <v>14</v>
      </c>
      <c r="C144" s="2">
        <v>927.0</v>
      </c>
      <c r="D144" s="2">
        <v>358.0</v>
      </c>
      <c r="E144" s="2">
        <v>177554.0</v>
      </c>
      <c r="F144" s="2">
        <v>6.95</v>
      </c>
      <c r="G144" s="2">
        <v>48270.0</v>
      </c>
      <c r="H144" s="2">
        <f t="shared" si="1"/>
        <v>569</v>
      </c>
    </row>
    <row r="145" ht="14.25" customHeight="1">
      <c r="A145" s="10">
        <v>45691.0</v>
      </c>
      <c r="B145" s="2" t="s">
        <v>27</v>
      </c>
      <c r="C145" s="2">
        <v>152.0</v>
      </c>
      <c r="D145" s="2">
        <v>355.0</v>
      </c>
      <c r="E145" s="2">
        <v>270766.0</v>
      </c>
      <c r="F145" s="2">
        <v>9.48</v>
      </c>
      <c r="G145" s="2">
        <v>18001.0</v>
      </c>
      <c r="H145" s="2">
        <f t="shared" si="1"/>
        <v>-203</v>
      </c>
    </row>
    <row r="146" ht="14.25" customHeight="1">
      <c r="A146" s="10">
        <v>45698.0</v>
      </c>
      <c r="B146" s="2" t="s">
        <v>31</v>
      </c>
      <c r="C146" s="2">
        <v>1957.0</v>
      </c>
      <c r="D146" s="2">
        <v>234.0</v>
      </c>
      <c r="E146" s="2">
        <v>222126.0</v>
      </c>
      <c r="F146" s="2">
        <v>4.61</v>
      </c>
      <c r="G146" s="2">
        <v>3314.0</v>
      </c>
      <c r="H146" s="2">
        <f t="shared" si="1"/>
        <v>1723</v>
      </c>
    </row>
    <row r="147" ht="14.25" customHeight="1">
      <c r="A147" s="10">
        <v>45698.0</v>
      </c>
      <c r="B147" s="2" t="s">
        <v>40</v>
      </c>
      <c r="C147" s="2">
        <v>1294.0</v>
      </c>
      <c r="D147" s="2">
        <v>382.0</v>
      </c>
      <c r="E147" s="2">
        <v>309914.0</v>
      </c>
      <c r="F147" s="2">
        <v>8.03</v>
      </c>
      <c r="G147" s="2">
        <v>23489.0</v>
      </c>
      <c r="H147" s="2">
        <f t="shared" si="1"/>
        <v>912</v>
      </c>
    </row>
    <row r="148" ht="14.25" customHeight="1">
      <c r="A148" s="10">
        <v>45698.0</v>
      </c>
      <c r="B148" s="2" t="s">
        <v>14</v>
      </c>
      <c r="C148" s="2">
        <v>1587.0</v>
      </c>
      <c r="D148" s="2">
        <v>385.0</v>
      </c>
      <c r="E148" s="2">
        <v>126582.0</v>
      </c>
      <c r="F148" s="2">
        <v>6.99</v>
      </c>
      <c r="G148" s="2">
        <v>42832.0</v>
      </c>
      <c r="H148" s="2">
        <f t="shared" si="1"/>
        <v>1202</v>
      </c>
    </row>
    <row r="149" ht="14.25" customHeight="1">
      <c r="A149" s="10">
        <v>45698.0</v>
      </c>
      <c r="B149" s="2" t="s">
        <v>27</v>
      </c>
      <c r="C149" s="2">
        <v>1707.0</v>
      </c>
      <c r="D149" s="2">
        <v>263.0</v>
      </c>
      <c r="E149" s="2">
        <v>485280.0</v>
      </c>
      <c r="F149" s="2">
        <v>9.03</v>
      </c>
      <c r="G149" s="2">
        <v>24494.0</v>
      </c>
      <c r="H149" s="2">
        <f t="shared" si="1"/>
        <v>1444</v>
      </c>
    </row>
    <row r="150" ht="14.25" customHeight="1">
      <c r="A150" s="10">
        <v>45705.0</v>
      </c>
      <c r="B150" s="2" t="s">
        <v>31</v>
      </c>
      <c r="C150" s="2">
        <v>1138.0</v>
      </c>
      <c r="D150" s="2">
        <v>173.0</v>
      </c>
      <c r="E150" s="2">
        <v>453243.0</v>
      </c>
      <c r="F150" s="2">
        <v>2.86</v>
      </c>
      <c r="G150" s="2">
        <v>44097.0</v>
      </c>
      <c r="H150" s="2">
        <f t="shared" si="1"/>
        <v>965</v>
      </c>
    </row>
    <row r="151" ht="14.25" customHeight="1">
      <c r="A151" s="10">
        <v>45705.0</v>
      </c>
      <c r="B151" s="2" t="s">
        <v>40</v>
      </c>
      <c r="C151" s="2">
        <v>1895.0</v>
      </c>
      <c r="D151" s="2">
        <v>305.0</v>
      </c>
      <c r="E151" s="2">
        <v>104967.0</v>
      </c>
      <c r="F151" s="2">
        <v>3.85</v>
      </c>
      <c r="G151" s="2">
        <v>31853.0</v>
      </c>
      <c r="H151" s="2">
        <f t="shared" si="1"/>
        <v>1590</v>
      </c>
    </row>
    <row r="152" ht="14.25" customHeight="1">
      <c r="A152" s="10">
        <v>45705.0</v>
      </c>
      <c r="B152" s="2" t="s">
        <v>14</v>
      </c>
      <c r="C152" s="2">
        <v>362.0</v>
      </c>
      <c r="D152" s="2">
        <v>399.0</v>
      </c>
      <c r="E152" s="2">
        <v>145608.0</v>
      </c>
      <c r="F152" s="2">
        <v>7.3</v>
      </c>
      <c r="G152" s="2">
        <v>37636.0</v>
      </c>
      <c r="H152" s="2">
        <f t="shared" si="1"/>
        <v>-37</v>
      </c>
    </row>
    <row r="153" ht="14.25" customHeight="1">
      <c r="A153" s="10">
        <v>45705.0</v>
      </c>
      <c r="B153" s="2" t="s">
        <v>27</v>
      </c>
      <c r="C153" s="2">
        <v>1662.0</v>
      </c>
      <c r="D153" s="2">
        <v>487.0</v>
      </c>
      <c r="E153" s="2">
        <v>105980.0</v>
      </c>
      <c r="F153" s="2">
        <v>9.08</v>
      </c>
      <c r="G153" s="2">
        <v>22996.0</v>
      </c>
      <c r="H153" s="2">
        <f t="shared" si="1"/>
        <v>1175</v>
      </c>
    </row>
    <row r="154" ht="14.25" customHeight="1">
      <c r="A154" s="10">
        <v>45712.0</v>
      </c>
      <c r="B154" s="2" t="s">
        <v>31</v>
      </c>
      <c r="C154" s="2">
        <v>1440.0</v>
      </c>
      <c r="D154" s="2">
        <v>65.0</v>
      </c>
      <c r="E154" s="2">
        <v>126524.0</v>
      </c>
      <c r="F154" s="2">
        <v>4.34</v>
      </c>
      <c r="G154" s="2">
        <v>49772.0</v>
      </c>
      <c r="H154" s="2">
        <f t="shared" si="1"/>
        <v>1375</v>
      </c>
    </row>
    <row r="155" ht="14.25" customHeight="1">
      <c r="A155" s="10">
        <v>45712.0</v>
      </c>
      <c r="B155" s="2" t="s">
        <v>40</v>
      </c>
      <c r="C155" s="2">
        <v>1884.0</v>
      </c>
      <c r="D155" s="2">
        <v>177.0</v>
      </c>
      <c r="E155" s="2">
        <v>230448.0</v>
      </c>
      <c r="F155" s="2">
        <v>7.8</v>
      </c>
      <c r="G155" s="2">
        <v>22713.0</v>
      </c>
      <c r="H155" s="2">
        <f t="shared" si="1"/>
        <v>1707</v>
      </c>
    </row>
    <row r="156" ht="14.25" customHeight="1">
      <c r="A156" s="10">
        <v>45712.0</v>
      </c>
      <c r="B156" s="2" t="s">
        <v>14</v>
      </c>
      <c r="C156" s="2">
        <v>861.0</v>
      </c>
      <c r="D156" s="2">
        <v>153.0</v>
      </c>
      <c r="E156" s="2">
        <v>317007.0</v>
      </c>
      <c r="F156" s="2">
        <v>3.85</v>
      </c>
      <c r="G156" s="2">
        <v>8718.0</v>
      </c>
      <c r="H156" s="2">
        <f t="shared" si="1"/>
        <v>708</v>
      </c>
    </row>
    <row r="157" ht="14.25" customHeight="1">
      <c r="A157" s="10">
        <v>45712.0</v>
      </c>
      <c r="B157" s="2" t="s">
        <v>27</v>
      </c>
      <c r="C157" s="2">
        <v>1063.0</v>
      </c>
      <c r="D157" s="2">
        <v>47.0</v>
      </c>
      <c r="E157" s="2">
        <v>464239.0</v>
      </c>
      <c r="F157" s="2">
        <v>6.58</v>
      </c>
      <c r="G157" s="2">
        <v>39031.0</v>
      </c>
      <c r="H157" s="2">
        <f t="shared" si="1"/>
        <v>1016</v>
      </c>
    </row>
    <row r="158" ht="14.25" customHeight="1">
      <c r="A158" s="10">
        <v>45719.0</v>
      </c>
      <c r="B158" s="2" t="s">
        <v>31</v>
      </c>
      <c r="C158" s="2">
        <v>1371.0</v>
      </c>
      <c r="D158" s="2">
        <v>56.0</v>
      </c>
      <c r="E158" s="2">
        <v>257579.0</v>
      </c>
      <c r="F158" s="2">
        <v>8.62</v>
      </c>
      <c r="G158" s="2">
        <v>33799.0</v>
      </c>
      <c r="H158" s="2">
        <f t="shared" si="1"/>
        <v>1315</v>
      </c>
    </row>
    <row r="159" ht="14.25" customHeight="1">
      <c r="A159" s="10">
        <v>45719.0</v>
      </c>
      <c r="B159" s="2" t="s">
        <v>40</v>
      </c>
      <c r="C159" s="2">
        <v>345.0</v>
      </c>
      <c r="D159" s="2">
        <v>464.0</v>
      </c>
      <c r="E159" s="2">
        <v>366881.0</v>
      </c>
      <c r="F159" s="2">
        <v>4.55</v>
      </c>
      <c r="G159" s="2">
        <v>20553.0</v>
      </c>
      <c r="H159" s="2">
        <f t="shared" si="1"/>
        <v>-119</v>
      </c>
    </row>
    <row r="160" ht="14.25" customHeight="1">
      <c r="A160" s="10">
        <v>45719.0</v>
      </c>
      <c r="B160" s="2" t="s">
        <v>14</v>
      </c>
      <c r="C160" s="2">
        <v>946.0</v>
      </c>
      <c r="D160" s="2">
        <v>47.0</v>
      </c>
      <c r="E160" s="2">
        <v>466575.0</v>
      </c>
      <c r="F160" s="2">
        <v>8.33</v>
      </c>
      <c r="G160" s="2">
        <v>10002.0</v>
      </c>
      <c r="H160" s="2">
        <f t="shared" si="1"/>
        <v>899</v>
      </c>
    </row>
    <row r="161" ht="14.25" customHeight="1">
      <c r="A161" s="10">
        <v>45719.0</v>
      </c>
      <c r="B161" s="2" t="s">
        <v>27</v>
      </c>
      <c r="C161" s="2">
        <v>510.0</v>
      </c>
      <c r="D161" s="2">
        <v>195.0</v>
      </c>
      <c r="E161" s="2">
        <v>224534.0</v>
      </c>
      <c r="F161" s="2">
        <v>9.4</v>
      </c>
      <c r="G161" s="2">
        <v>30987.0</v>
      </c>
      <c r="H161" s="2">
        <f t="shared" si="1"/>
        <v>315</v>
      </c>
    </row>
    <row r="162" ht="14.25" customHeight="1">
      <c r="A162" s="10">
        <v>45726.0</v>
      </c>
      <c r="B162" s="2" t="s">
        <v>31</v>
      </c>
      <c r="C162" s="2">
        <v>393.0</v>
      </c>
      <c r="D162" s="2">
        <v>181.0</v>
      </c>
      <c r="E162" s="2">
        <v>462142.0</v>
      </c>
      <c r="F162" s="2">
        <v>7.23</v>
      </c>
      <c r="G162" s="2">
        <v>6296.0</v>
      </c>
      <c r="H162" s="2">
        <f t="shared" si="1"/>
        <v>212</v>
      </c>
    </row>
    <row r="163" ht="14.25" customHeight="1">
      <c r="A163" s="10">
        <v>45726.0</v>
      </c>
      <c r="B163" s="2" t="s">
        <v>40</v>
      </c>
      <c r="C163" s="2">
        <v>1098.0</v>
      </c>
      <c r="D163" s="2">
        <v>190.0</v>
      </c>
      <c r="E163" s="2">
        <v>340842.0</v>
      </c>
      <c r="F163" s="2">
        <v>9.39</v>
      </c>
      <c r="G163" s="2">
        <v>21539.0</v>
      </c>
      <c r="H163" s="2">
        <f t="shared" si="1"/>
        <v>908</v>
      </c>
    </row>
    <row r="164" ht="14.25" customHeight="1">
      <c r="A164" s="10">
        <v>45726.0</v>
      </c>
      <c r="B164" s="2" t="s">
        <v>14</v>
      </c>
      <c r="C164" s="2">
        <v>1399.0</v>
      </c>
      <c r="D164" s="2">
        <v>49.0</v>
      </c>
      <c r="E164" s="2">
        <v>12471.0</v>
      </c>
      <c r="F164" s="2">
        <v>5.12</v>
      </c>
      <c r="G164" s="2">
        <v>14722.0</v>
      </c>
      <c r="H164" s="2">
        <f t="shared" si="1"/>
        <v>1350</v>
      </c>
    </row>
    <row r="165" ht="14.25" customHeight="1">
      <c r="A165" s="10">
        <v>45726.0</v>
      </c>
      <c r="B165" s="2" t="s">
        <v>27</v>
      </c>
      <c r="C165" s="2">
        <v>1658.0</v>
      </c>
      <c r="D165" s="2">
        <v>416.0</v>
      </c>
      <c r="E165" s="2">
        <v>98397.0</v>
      </c>
      <c r="F165" s="2">
        <v>6.11</v>
      </c>
      <c r="G165" s="2">
        <v>11383.0</v>
      </c>
      <c r="H165" s="2">
        <f t="shared" si="1"/>
        <v>1242</v>
      </c>
    </row>
    <row r="166" ht="14.25" customHeight="1">
      <c r="A166" s="10">
        <v>45733.0</v>
      </c>
      <c r="B166" s="2" t="s">
        <v>31</v>
      </c>
      <c r="C166" s="2">
        <v>1102.0</v>
      </c>
      <c r="D166" s="2">
        <v>422.0</v>
      </c>
      <c r="E166" s="2">
        <v>410330.0</v>
      </c>
      <c r="F166" s="2">
        <v>7.74</v>
      </c>
      <c r="G166" s="2">
        <v>9480.0</v>
      </c>
      <c r="H166" s="2">
        <f t="shared" si="1"/>
        <v>680</v>
      </c>
    </row>
    <row r="167" ht="14.25" customHeight="1">
      <c r="A167" s="10">
        <v>45733.0</v>
      </c>
      <c r="B167" s="2" t="s">
        <v>40</v>
      </c>
      <c r="C167" s="2">
        <v>1358.0</v>
      </c>
      <c r="D167" s="2">
        <v>242.0</v>
      </c>
      <c r="E167" s="2">
        <v>342129.0</v>
      </c>
      <c r="F167" s="2">
        <v>4.94</v>
      </c>
      <c r="G167" s="2">
        <v>29116.0</v>
      </c>
      <c r="H167" s="2">
        <f t="shared" si="1"/>
        <v>1116</v>
      </c>
    </row>
    <row r="168" ht="14.25" customHeight="1">
      <c r="A168" s="10">
        <v>45733.0</v>
      </c>
      <c r="B168" s="2" t="s">
        <v>14</v>
      </c>
      <c r="C168" s="2">
        <v>1077.0</v>
      </c>
      <c r="D168" s="2">
        <v>216.0</v>
      </c>
      <c r="E168" s="2">
        <v>12447.0</v>
      </c>
      <c r="F168" s="2">
        <v>1.8</v>
      </c>
      <c r="G168" s="2">
        <v>14068.0</v>
      </c>
      <c r="H168" s="2">
        <f t="shared" si="1"/>
        <v>861</v>
      </c>
    </row>
    <row r="169" ht="14.25" customHeight="1">
      <c r="A169" s="10">
        <v>45733.0</v>
      </c>
      <c r="B169" s="2" t="s">
        <v>27</v>
      </c>
      <c r="C169" s="2">
        <v>1596.0</v>
      </c>
      <c r="D169" s="2">
        <v>211.0</v>
      </c>
      <c r="E169" s="2">
        <v>17380.0</v>
      </c>
      <c r="F169" s="2">
        <v>8.64</v>
      </c>
      <c r="G169" s="2">
        <v>35801.0</v>
      </c>
      <c r="H169" s="2">
        <f t="shared" si="1"/>
        <v>1385</v>
      </c>
    </row>
    <row r="170" ht="14.25" customHeight="1">
      <c r="A170" s="10">
        <v>45740.0</v>
      </c>
      <c r="B170" s="2" t="s">
        <v>31</v>
      </c>
      <c r="C170" s="2">
        <v>490.0</v>
      </c>
      <c r="D170" s="2">
        <v>29.0</v>
      </c>
      <c r="E170" s="2">
        <v>364810.0</v>
      </c>
      <c r="F170" s="2">
        <v>1.53</v>
      </c>
      <c r="G170" s="2">
        <v>49077.0</v>
      </c>
      <c r="H170" s="2">
        <f t="shared" si="1"/>
        <v>461</v>
      </c>
    </row>
    <row r="171" ht="14.25" customHeight="1">
      <c r="A171" s="10">
        <v>45740.0</v>
      </c>
      <c r="B171" s="2" t="s">
        <v>40</v>
      </c>
      <c r="C171" s="2">
        <v>609.0</v>
      </c>
      <c r="D171" s="2">
        <v>135.0</v>
      </c>
      <c r="E171" s="2">
        <v>373606.0</v>
      </c>
      <c r="F171" s="2">
        <v>8.52</v>
      </c>
      <c r="G171" s="2">
        <v>21453.0</v>
      </c>
      <c r="H171" s="2">
        <f t="shared" si="1"/>
        <v>474</v>
      </c>
    </row>
    <row r="172" ht="14.25" customHeight="1">
      <c r="A172" s="10">
        <v>45740.0</v>
      </c>
      <c r="B172" s="2" t="s">
        <v>14</v>
      </c>
      <c r="C172" s="2">
        <v>364.0</v>
      </c>
      <c r="D172" s="2">
        <v>72.0</v>
      </c>
      <c r="E172" s="2">
        <v>211090.0</v>
      </c>
      <c r="F172" s="2">
        <v>5.53</v>
      </c>
      <c r="G172" s="2">
        <v>21061.0</v>
      </c>
      <c r="H172" s="2">
        <f t="shared" si="1"/>
        <v>292</v>
      </c>
    </row>
    <row r="173" ht="14.25" customHeight="1">
      <c r="A173" s="10">
        <v>45740.0</v>
      </c>
      <c r="B173" s="2" t="s">
        <v>27</v>
      </c>
      <c r="C173" s="2">
        <v>442.0</v>
      </c>
      <c r="D173" s="2">
        <v>53.0</v>
      </c>
      <c r="E173" s="2">
        <v>441931.0</v>
      </c>
      <c r="F173" s="2">
        <v>1.87</v>
      </c>
      <c r="G173" s="2">
        <v>20059.0</v>
      </c>
      <c r="H173" s="2">
        <f t="shared" si="1"/>
        <v>389</v>
      </c>
    </row>
    <row r="174" ht="14.25" customHeight="1">
      <c r="A174" s="10">
        <v>45747.0</v>
      </c>
      <c r="B174" s="2" t="s">
        <v>31</v>
      </c>
      <c r="C174" s="2">
        <v>1033.0</v>
      </c>
      <c r="D174" s="2">
        <v>392.0</v>
      </c>
      <c r="E174" s="2">
        <v>282780.0</v>
      </c>
      <c r="F174" s="2">
        <v>6.27</v>
      </c>
      <c r="G174" s="2">
        <v>23140.0</v>
      </c>
      <c r="H174" s="2">
        <f t="shared" si="1"/>
        <v>641</v>
      </c>
    </row>
    <row r="175" ht="14.25" customHeight="1">
      <c r="A175" s="10">
        <v>45747.0</v>
      </c>
      <c r="B175" s="2" t="s">
        <v>40</v>
      </c>
      <c r="C175" s="2">
        <v>988.0</v>
      </c>
      <c r="D175" s="2">
        <v>474.0</v>
      </c>
      <c r="E175" s="2">
        <v>370070.0</v>
      </c>
      <c r="F175" s="2">
        <v>9.46</v>
      </c>
      <c r="G175" s="2">
        <v>23461.0</v>
      </c>
      <c r="H175" s="2">
        <f t="shared" si="1"/>
        <v>514</v>
      </c>
    </row>
    <row r="176" ht="14.25" customHeight="1">
      <c r="A176" s="10">
        <v>45747.0</v>
      </c>
      <c r="B176" s="2" t="s">
        <v>14</v>
      </c>
      <c r="C176" s="2">
        <v>1946.0</v>
      </c>
      <c r="D176" s="2">
        <v>270.0</v>
      </c>
      <c r="E176" s="2">
        <v>198350.0</v>
      </c>
      <c r="F176" s="2">
        <v>7.5</v>
      </c>
      <c r="G176" s="2">
        <v>11805.0</v>
      </c>
      <c r="H176" s="2">
        <f t="shared" si="1"/>
        <v>1676</v>
      </c>
    </row>
    <row r="177" ht="14.25" customHeight="1">
      <c r="A177" s="10">
        <v>45747.0</v>
      </c>
      <c r="B177" s="2" t="s">
        <v>27</v>
      </c>
      <c r="C177" s="2">
        <v>1957.0</v>
      </c>
      <c r="D177" s="2">
        <v>490.0</v>
      </c>
      <c r="E177" s="2">
        <v>435726.0</v>
      </c>
      <c r="F177" s="2">
        <v>4.73</v>
      </c>
      <c r="G177" s="2">
        <v>15969.0</v>
      </c>
      <c r="H177" s="2">
        <f t="shared" si="1"/>
        <v>1467</v>
      </c>
    </row>
    <row r="178" ht="14.25" customHeight="1">
      <c r="A178" s="10">
        <v>45754.0</v>
      </c>
      <c r="B178" s="2" t="s">
        <v>31</v>
      </c>
      <c r="C178" s="2">
        <v>559.0</v>
      </c>
      <c r="D178" s="2">
        <v>392.0</v>
      </c>
      <c r="E178" s="2">
        <v>78789.0</v>
      </c>
      <c r="F178" s="2">
        <v>3.19</v>
      </c>
      <c r="G178" s="2">
        <v>2436.0</v>
      </c>
      <c r="H178" s="2">
        <f t="shared" si="1"/>
        <v>167</v>
      </c>
    </row>
    <row r="179" ht="14.25" customHeight="1">
      <c r="A179" s="10">
        <v>45754.0</v>
      </c>
      <c r="B179" s="2" t="s">
        <v>40</v>
      </c>
      <c r="C179" s="2">
        <v>1307.0</v>
      </c>
      <c r="D179" s="2">
        <v>278.0</v>
      </c>
      <c r="E179" s="2">
        <v>98596.0</v>
      </c>
      <c r="F179" s="2">
        <v>2.49</v>
      </c>
      <c r="G179" s="2">
        <v>47603.0</v>
      </c>
      <c r="H179" s="2">
        <f t="shared" si="1"/>
        <v>1029</v>
      </c>
    </row>
    <row r="180" ht="14.25" customHeight="1">
      <c r="A180" s="10">
        <v>45754.0</v>
      </c>
      <c r="B180" s="2" t="s">
        <v>14</v>
      </c>
      <c r="C180" s="2">
        <v>1432.0</v>
      </c>
      <c r="D180" s="2">
        <v>425.0</v>
      </c>
      <c r="E180" s="2">
        <v>29589.0</v>
      </c>
      <c r="F180" s="2">
        <v>4.5</v>
      </c>
      <c r="G180" s="2">
        <v>42964.0</v>
      </c>
      <c r="H180" s="2">
        <f t="shared" si="1"/>
        <v>1007</v>
      </c>
    </row>
    <row r="181" ht="14.25" customHeight="1">
      <c r="A181" s="10">
        <v>45754.0</v>
      </c>
      <c r="B181" s="2" t="s">
        <v>27</v>
      </c>
      <c r="C181" s="2">
        <v>623.0</v>
      </c>
      <c r="D181" s="2">
        <v>414.0</v>
      </c>
      <c r="E181" s="2">
        <v>290354.0</v>
      </c>
      <c r="F181" s="2">
        <v>6.49</v>
      </c>
      <c r="G181" s="2">
        <v>39923.0</v>
      </c>
      <c r="H181" s="2">
        <f t="shared" si="1"/>
        <v>209</v>
      </c>
    </row>
    <row r="182" ht="14.25" customHeight="1">
      <c r="A182" s="10">
        <v>45761.0</v>
      </c>
      <c r="B182" s="2" t="s">
        <v>31</v>
      </c>
      <c r="C182" s="2">
        <v>198.0</v>
      </c>
      <c r="D182" s="2">
        <v>358.0</v>
      </c>
      <c r="E182" s="2">
        <v>66682.0</v>
      </c>
      <c r="F182" s="2">
        <v>6.73</v>
      </c>
      <c r="G182" s="2">
        <v>2293.0</v>
      </c>
      <c r="H182" s="2">
        <f t="shared" si="1"/>
        <v>-160</v>
      </c>
    </row>
    <row r="183" ht="14.25" customHeight="1">
      <c r="A183" s="10">
        <v>45761.0</v>
      </c>
      <c r="B183" s="2" t="s">
        <v>40</v>
      </c>
      <c r="C183" s="2">
        <v>198.0</v>
      </c>
      <c r="D183" s="2">
        <v>373.0</v>
      </c>
      <c r="E183" s="2">
        <v>70707.0</v>
      </c>
      <c r="F183" s="2">
        <v>4.83</v>
      </c>
      <c r="G183" s="2">
        <v>25920.0</v>
      </c>
      <c r="H183" s="2">
        <f t="shared" si="1"/>
        <v>-175</v>
      </c>
    </row>
    <row r="184" ht="14.25" customHeight="1">
      <c r="A184" s="10">
        <v>45761.0</v>
      </c>
      <c r="B184" s="2" t="s">
        <v>14</v>
      </c>
      <c r="C184" s="2">
        <v>353.0</v>
      </c>
      <c r="D184" s="2">
        <v>300.0</v>
      </c>
      <c r="E184" s="2">
        <v>142507.0</v>
      </c>
      <c r="F184" s="2">
        <v>5.3</v>
      </c>
      <c r="G184" s="2">
        <v>11035.0</v>
      </c>
      <c r="H184" s="2">
        <f t="shared" si="1"/>
        <v>53</v>
      </c>
    </row>
    <row r="185" ht="14.25" customHeight="1">
      <c r="A185" s="10">
        <v>45761.0</v>
      </c>
      <c r="B185" s="2" t="s">
        <v>27</v>
      </c>
      <c r="C185" s="2">
        <v>520.0</v>
      </c>
      <c r="D185" s="2">
        <v>375.0</v>
      </c>
      <c r="E185" s="2">
        <v>369525.0</v>
      </c>
      <c r="F185" s="2">
        <v>6.54</v>
      </c>
      <c r="G185" s="2">
        <v>20733.0</v>
      </c>
      <c r="H185" s="2">
        <f t="shared" si="1"/>
        <v>145</v>
      </c>
    </row>
    <row r="186" ht="14.25" customHeight="1">
      <c r="A186" s="10">
        <v>45768.0</v>
      </c>
      <c r="B186" s="2" t="s">
        <v>31</v>
      </c>
      <c r="C186" s="2">
        <v>961.0</v>
      </c>
      <c r="D186" s="2">
        <v>358.0</v>
      </c>
      <c r="E186" s="2">
        <v>62942.0</v>
      </c>
      <c r="F186" s="2">
        <v>6.8</v>
      </c>
      <c r="G186" s="2">
        <v>18693.0</v>
      </c>
      <c r="H186" s="2">
        <f t="shared" si="1"/>
        <v>603</v>
      </c>
    </row>
    <row r="187" ht="14.25" customHeight="1">
      <c r="A187" s="10">
        <v>45768.0</v>
      </c>
      <c r="B187" s="2" t="s">
        <v>40</v>
      </c>
      <c r="C187" s="2">
        <v>1375.0</v>
      </c>
      <c r="D187" s="2">
        <v>330.0</v>
      </c>
      <c r="E187" s="2">
        <v>377382.0</v>
      </c>
      <c r="F187" s="2">
        <v>2.6</v>
      </c>
      <c r="G187" s="2">
        <v>7875.0</v>
      </c>
      <c r="H187" s="2">
        <f t="shared" si="1"/>
        <v>1045</v>
      </c>
    </row>
    <row r="188" ht="14.25" customHeight="1">
      <c r="A188" s="10">
        <v>45768.0</v>
      </c>
      <c r="B188" s="2" t="s">
        <v>14</v>
      </c>
      <c r="C188" s="2">
        <v>1147.0</v>
      </c>
      <c r="D188" s="2">
        <v>388.0</v>
      </c>
      <c r="E188" s="2">
        <v>333851.0</v>
      </c>
      <c r="F188" s="2">
        <v>2.44</v>
      </c>
      <c r="G188" s="2">
        <v>8471.0</v>
      </c>
      <c r="H188" s="2">
        <f t="shared" si="1"/>
        <v>759</v>
      </c>
    </row>
    <row r="189" ht="14.25" customHeight="1">
      <c r="A189" s="10">
        <v>45768.0</v>
      </c>
      <c r="B189" s="2" t="s">
        <v>27</v>
      </c>
      <c r="C189" s="2">
        <v>1707.0</v>
      </c>
      <c r="D189" s="2">
        <v>74.0</v>
      </c>
      <c r="E189" s="2">
        <v>270958.0</v>
      </c>
      <c r="F189" s="2">
        <v>3.09</v>
      </c>
      <c r="G189" s="2">
        <v>14090.0</v>
      </c>
      <c r="H189" s="2">
        <f t="shared" si="1"/>
        <v>1633</v>
      </c>
    </row>
    <row r="190" ht="14.25" customHeight="1">
      <c r="A190" s="10">
        <v>45775.0</v>
      </c>
      <c r="B190" s="2" t="s">
        <v>31</v>
      </c>
      <c r="C190" s="2">
        <v>1693.0</v>
      </c>
      <c r="D190" s="2">
        <v>154.0</v>
      </c>
      <c r="E190" s="2">
        <v>445944.0</v>
      </c>
      <c r="F190" s="2">
        <v>5.69</v>
      </c>
      <c r="G190" s="2">
        <v>14216.0</v>
      </c>
      <c r="H190" s="2">
        <f t="shared" si="1"/>
        <v>1539</v>
      </c>
    </row>
    <row r="191" ht="14.25" customHeight="1">
      <c r="A191" s="10">
        <v>45775.0</v>
      </c>
      <c r="B191" s="2" t="s">
        <v>40</v>
      </c>
      <c r="C191" s="2">
        <v>833.0</v>
      </c>
      <c r="D191" s="2">
        <v>380.0</v>
      </c>
      <c r="E191" s="2">
        <v>224830.0</v>
      </c>
      <c r="F191" s="2">
        <v>3.86</v>
      </c>
      <c r="G191" s="2">
        <v>3582.0</v>
      </c>
      <c r="H191" s="2">
        <f t="shared" si="1"/>
        <v>453</v>
      </c>
    </row>
    <row r="192" ht="14.25" customHeight="1">
      <c r="A192" s="10">
        <v>45775.0</v>
      </c>
      <c r="B192" s="2" t="s">
        <v>14</v>
      </c>
      <c r="C192" s="2">
        <v>1222.0</v>
      </c>
      <c r="D192" s="2">
        <v>274.0</v>
      </c>
      <c r="E192" s="2">
        <v>487289.0</v>
      </c>
      <c r="F192" s="2">
        <v>3.16</v>
      </c>
      <c r="G192" s="2">
        <v>32500.0</v>
      </c>
      <c r="H192" s="2">
        <f t="shared" si="1"/>
        <v>948</v>
      </c>
    </row>
    <row r="193" ht="14.25" customHeight="1">
      <c r="A193" s="10">
        <v>45775.0</v>
      </c>
      <c r="B193" s="2" t="s">
        <v>27</v>
      </c>
      <c r="C193" s="2">
        <v>777.0</v>
      </c>
      <c r="D193" s="2">
        <v>140.0</v>
      </c>
      <c r="E193" s="2">
        <v>11435.0</v>
      </c>
      <c r="F193" s="2">
        <v>1.6</v>
      </c>
      <c r="G193" s="2">
        <v>6832.0</v>
      </c>
      <c r="H193" s="2">
        <f t="shared" si="1"/>
        <v>637</v>
      </c>
    </row>
    <row r="194" ht="14.25" customHeight="1">
      <c r="A194" s="10">
        <v>45782.0</v>
      </c>
      <c r="B194" s="2" t="s">
        <v>31</v>
      </c>
      <c r="C194" s="2">
        <v>1957.0</v>
      </c>
      <c r="D194" s="2">
        <v>76.0</v>
      </c>
      <c r="E194" s="2">
        <v>447902.0</v>
      </c>
      <c r="F194" s="2">
        <v>6.09</v>
      </c>
      <c r="G194" s="2">
        <v>33381.0</v>
      </c>
      <c r="H194" s="2">
        <f t="shared" si="1"/>
        <v>1881</v>
      </c>
    </row>
    <row r="195" ht="14.25" customHeight="1">
      <c r="A195" s="10">
        <v>45782.0</v>
      </c>
      <c r="B195" s="2" t="s">
        <v>40</v>
      </c>
      <c r="C195" s="2">
        <v>405.0</v>
      </c>
      <c r="D195" s="2">
        <v>66.0</v>
      </c>
      <c r="E195" s="2">
        <v>418696.0</v>
      </c>
      <c r="F195" s="2">
        <v>5.59</v>
      </c>
      <c r="G195" s="2">
        <v>48419.0</v>
      </c>
      <c r="H195" s="2">
        <f t="shared" si="1"/>
        <v>339</v>
      </c>
    </row>
    <row r="196" ht="14.25" customHeight="1">
      <c r="A196" s="10">
        <v>45782.0</v>
      </c>
      <c r="B196" s="2" t="s">
        <v>14</v>
      </c>
      <c r="C196" s="2">
        <v>1581.0</v>
      </c>
      <c r="D196" s="2">
        <v>71.0</v>
      </c>
      <c r="E196" s="2">
        <v>484364.0</v>
      </c>
      <c r="F196" s="2">
        <v>3.55</v>
      </c>
      <c r="G196" s="2">
        <v>16149.0</v>
      </c>
      <c r="H196" s="2">
        <f t="shared" si="1"/>
        <v>1510</v>
      </c>
    </row>
    <row r="197" ht="14.25" customHeight="1">
      <c r="A197" s="10">
        <v>45782.0</v>
      </c>
      <c r="B197" s="2" t="s">
        <v>27</v>
      </c>
      <c r="C197" s="2">
        <v>1035.0</v>
      </c>
      <c r="D197" s="2">
        <v>171.0</v>
      </c>
      <c r="E197" s="2">
        <v>148477.0</v>
      </c>
      <c r="F197" s="2">
        <v>5.21</v>
      </c>
      <c r="G197" s="2">
        <v>7541.0</v>
      </c>
      <c r="H197" s="2">
        <f t="shared" si="1"/>
        <v>864</v>
      </c>
    </row>
    <row r="198" ht="14.25" customHeight="1">
      <c r="A198" s="10">
        <v>45789.0</v>
      </c>
      <c r="B198" s="2" t="s">
        <v>31</v>
      </c>
      <c r="C198" s="2">
        <v>1765.0</v>
      </c>
      <c r="D198" s="2">
        <v>109.0</v>
      </c>
      <c r="E198" s="2">
        <v>468301.0</v>
      </c>
      <c r="F198" s="2">
        <v>1.82</v>
      </c>
      <c r="G198" s="2">
        <v>20042.0</v>
      </c>
      <c r="H198" s="2">
        <f t="shared" si="1"/>
        <v>1656</v>
      </c>
    </row>
    <row r="199" ht="14.25" customHeight="1">
      <c r="A199" s="10">
        <v>45789.0</v>
      </c>
      <c r="B199" s="2" t="s">
        <v>40</v>
      </c>
      <c r="C199" s="2">
        <v>837.0</v>
      </c>
      <c r="D199" s="2">
        <v>430.0</v>
      </c>
      <c r="E199" s="2">
        <v>364820.0</v>
      </c>
      <c r="F199" s="2">
        <v>4.0</v>
      </c>
      <c r="G199" s="2">
        <v>49400.0</v>
      </c>
      <c r="H199" s="2">
        <f t="shared" si="1"/>
        <v>407</v>
      </c>
    </row>
    <row r="200" ht="14.25" customHeight="1">
      <c r="A200" s="10">
        <v>45789.0</v>
      </c>
      <c r="B200" s="2" t="s">
        <v>14</v>
      </c>
      <c r="C200" s="2">
        <v>337.0</v>
      </c>
      <c r="D200" s="2">
        <v>68.0</v>
      </c>
      <c r="E200" s="2">
        <v>456298.0</v>
      </c>
      <c r="F200" s="2">
        <v>7.57</v>
      </c>
      <c r="G200" s="2">
        <v>4007.0</v>
      </c>
      <c r="H200" s="2">
        <f t="shared" si="1"/>
        <v>269</v>
      </c>
    </row>
    <row r="201" ht="14.25" customHeight="1">
      <c r="A201" s="10">
        <v>45789.0</v>
      </c>
      <c r="B201" s="2" t="s">
        <v>27</v>
      </c>
      <c r="C201" s="2">
        <v>119.0</v>
      </c>
      <c r="D201" s="2">
        <v>456.0</v>
      </c>
      <c r="E201" s="2">
        <v>82558.0</v>
      </c>
      <c r="F201" s="2">
        <v>6.81</v>
      </c>
      <c r="G201" s="2">
        <v>12174.0</v>
      </c>
      <c r="H201" s="2">
        <f t="shared" si="1"/>
        <v>-337</v>
      </c>
    </row>
    <row r="202" ht="14.25" customHeight="1">
      <c r="A202" s="15"/>
      <c r="F202" s="2">
        <f>AVERAGE(F2:F10)</f>
        <v>5.167777778</v>
      </c>
      <c r="H202" s="2">
        <f>AVERAGE(H2:H10)</f>
        <v>825.2222222</v>
      </c>
    </row>
    <row r="203" ht="14.25" customHeight="1"/>
    <row r="204" ht="14.25" customHeight="1"/>
    <row r="205" ht="14.25" customHeight="1"/>
    <row r="206" ht="14.25" customHeight="1">
      <c r="D206" s="6"/>
    </row>
    <row r="207" ht="14.25" customHeight="1"/>
    <row r="208" ht="14.25" customHeight="1"/>
    <row r="209" ht="14.25" customHeight="1"/>
    <row r="210" ht="14.25" customHeight="1">
      <c r="B210" s="3" t="s">
        <v>576</v>
      </c>
      <c r="F210" s="2">
        <f>AVERAGE(F6:F10)</f>
        <v>4.21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>
      <c r="A1" s="16" t="s">
        <v>12</v>
      </c>
      <c r="B1" s="17" t="s">
        <v>577</v>
      </c>
      <c r="C1" s="17" t="s">
        <v>578</v>
      </c>
      <c r="D1" s="16" t="s">
        <v>579</v>
      </c>
      <c r="E1" s="18" t="s">
        <v>560</v>
      </c>
      <c r="F1" s="16" t="s">
        <v>580</v>
      </c>
    </row>
    <row r="2" ht="14.25" customHeight="1">
      <c r="A2" s="16" t="s">
        <v>25</v>
      </c>
      <c r="B2" s="17">
        <v>45453.0</v>
      </c>
      <c r="C2" s="17">
        <v>45478.0</v>
      </c>
      <c r="D2" s="16" t="s">
        <v>581</v>
      </c>
      <c r="E2" s="18">
        <v>180000.0</v>
      </c>
      <c r="F2" s="16" t="s">
        <v>582</v>
      </c>
    </row>
    <row r="3" ht="14.25" customHeight="1">
      <c r="A3" s="16" t="s">
        <v>19</v>
      </c>
      <c r="B3" s="17">
        <v>45505.0</v>
      </c>
      <c r="C3" s="17">
        <v>45535.0</v>
      </c>
      <c r="D3" s="16" t="s">
        <v>583</v>
      </c>
      <c r="E3" s="18">
        <v>160000.0</v>
      </c>
      <c r="F3" s="16" t="s">
        <v>584</v>
      </c>
    </row>
    <row r="4" ht="14.25" customHeight="1">
      <c r="A4" s="16" t="s">
        <v>38</v>
      </c>
      <c r="B4" s="17">
        <v>45570.0</v>
      </c>
      <c r="C4" s="17">
        <v>45601.0</v>
      </c>
      <c r="D4" s="16" t="s">
        <v>585</v>
      </c>
      <c r="E4" s="18">
        <v>220000.0</v>
      </c>
      <c r="F4" s="16" t="s">
        <v>586</v>
      </c>
    </row>
    <row r="5" ht="14.25" customHeight="1">
      <c r="A5" s="19" t="s">
        <v>55</v>
      </c>
      <c r="B5" s="20">
        <v>45667.0</v>
      </c>
      <c r="C5" s="20">
        <v>45698.0</v>
      </c>
      <c r="D5" s="19" t="s">
        <v>587</v>
      </c>
      <c r="E5" s="21">
        <v>200000.0</v>
      </c>
      <c r="F5" s="22" t="s">
        <v>588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