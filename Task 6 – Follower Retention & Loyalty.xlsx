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t" sheetId="1" r:id="rId4"/>
    <sheet state="visible" name="Engagment Summary" sheetId="2" r:id="rId5"/>
    <sheet state="visible" name="Campaign Data" sheetId="3" r:id="rId6"/>
  </sheets>
  <definedNames>
    <definedName hidden="1" localSheetId="0" name="_xlnm._FilterDatabase">Post!$A$1:$M$1</definedName>
    <definedName hidden="1" localSheetId="1" name="_xlnm._FilterDatabase">'Engagment Summary'!$E$1:$E$201</definedName>
  </definedNames>
  <calcPr/>
</workbook>
</file>

<file path=xl/sharedStrings.xml><?xml version="1.0" encoding="utf-8"?>
<sst xmlns="http://schemas.openxmlformats.org/spreadsheetml/2006/main" count="2340" uniqueCount="577">
  <si>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</si>
  <si>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</si>
  <si>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</si>
  <si>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</si>
  <si>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</si>
  <si>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</si>
  <si>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</si>
  <si>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</si>
  <si>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</si>
  <si>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</si>
  <si>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</si>
  <si>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</si>
  <si>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</si>
  <si>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</si>
  <si>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</si>
  <si>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</si>
  <si>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</si>
  <si>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Explore the latest reel on Myntra! Trendy styles await.</t>
  </si>
  <si>
    <t>#MyntraSale</t>
  </si>
  <si>
    <t>FashionUpgrade</t>
  </si>
  <si>
    <t>P002</t>
  </si>
  <si>
    <t>2025-04-03</t>
  </si>
  <si>
    <t>Text</t>
  </si>
  <si>
    <t>Explore the latest text on Myntra! Trendy styles await.</t>
  </si>
  <si>
    <t>#MyntraFashion</t>
  </si>
  <si>
    <t>EndOfSeasonSale</t>
  </si>
  <si>
    <t>P003</t>
  </si>
  <si>
    <t>YouTube</t>
  </si>
  <si>
    <t>2025-05-12</t>
  </si>
  <si>
    <t>#MyntraFashion,#MyntraSale</t>
  </si>
  <si>
    <t>P004</t>
  </si>
  <si>
    <t>Instagram</t>
  </si>
  <si>
    <t>2024-08-12</t>
  </si>
  <si>
    <t>Story</t>
  </si>
  <si>
    <t>Explore the latest story on Myntra! Trendy styles await.</t>
  </si>
  <si>
    <t>P005</t>
  </si>
  <si>
    <t>2024-06-26</t>
  </si>
  <si>
    <t>#StyleWithMyntra,#MyntraFashion</t>
  </si>
  <si>
    <t>MyntraFestiveEdit</t>
  </si>
  <si>
    <t>P006</t>
  </si>
  <si>
    <t>Facebook</t>
  </si>
  <si>
    <t>2024-10-31</t>
  </si>
  <si>
    <t>Carousel</t>
  </si>
  <si>
    <t>Explore the latest carousel on Myntra! Trendy styles await.</t>
  </si>
  <si>
    <t>#MyntraTrend</t>
  </si>
  <si>
    <t>P007</t>
  </si>
  <si>
    <t>2024-06-24</t>
  </si>
  <si>
    <t>P008</t>
  </si>
  <si>
    <t>2024-07-13</t>
  </si>
  <si>
    <t>Image</t>
  </si>
  <si>
    <t>Explore the latest image on Myntra! Trendy styles await.</t>
  </si>
  <si>
    <t>P009</t>
  </si>
  <si>
    <t>2024-08-30</t>
  </si>
  <si>
    <t>P010</t>
  </si>
  <si>
    <t>2025-03-11</t>
  </si>
  <si>
    <t>StyleRevolution</t>
  </si>
  <si>
    <t>P011</t>
  </si>
  <si>
    <t>2025-02-02</t>
  </si>
  <si>
    <t>#StyleWithMyntra</t>
  </si>
  <si>
    <t>P012</t>
  </si>
  <si>
    <t>2024-07-21</t>
  </si>
  <si>
    <t>#StyleWithMyntra,#MyntraSale</t>
  </si>
  <si>
    <t>P013</t>
  </si>
  <si>
    <t>2024-11-18</t>
  </si>
  <si>
    <t>P014</t>
  </si>
  <si>
    <t>2025-02-16</t>
  </si>
  <si>
    <t>#MyntraSale,#MyntraFashion</t>
  </si>
  <si>
    <t>P015</t>
  </si>
  <si>
    <t>2024-10-24</t>
  </si>
  <si>
    <t>Video</t>
  </si>
  <si>
    <t>Explore the latest video on Myntra! Trendy styles await.</t>
  </si>
  <si>
    <t>#MyntraFashion,#FashionDeals</t>
  </si>
  <si>
    <t>P016</t>
  </si>
  <si>
    <t>2024-08-26</t>
  </si>
  <si>
    <t>#MyntraSale,#FashionDeals</t>
  </si>
  <si>
    <t>P017</t>
  </si>
  <si>
    <t>2025-05-05</t>
  </si>
  <si>
    <t>#FashionDeals</t>
  </si>
  <si>
    <t>P018</t>
  </si>
  <si>
    <t>2024-08-19</t>
  </si>
  <si>
    <t>P019</t>
  </si>
  <si>
    <t>2024-06-23</t>
  </si>
  <si>
    <t>#MyntraSale,#StyleWithMyntra</t>
  </si>
  <si>
    <t>P020</t>
  </si>
  <si>
    <t>2024-09-09</t>
  </si>
  <si>
    <t>P021</t>
  </si>
  <si>
    <t>2025-01-04</t>
  </si>
  <si>
    <t>#StyleWithMyntra,#MyntraTrend</t>
  </si>
  <si>
    <t>P022</t>
  </si>
  <si>
    <t>2025-02-27</t>
  </si>
  <si>
    <t>P023</t>
  </si>
  <si>
    <t>2024-11-06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</si>
  <si>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</si>
  <si>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</si>
  <si>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</si>
  <si>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</si>
  <si>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</si>
  <si>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</si>
  <si>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</si>
  <si>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</si>
  <si>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P028</t>
  </si>
  <si>
    <t>2025-03-04</t>
  </si>
  <si>
    <t>#MyntraSale,#MyntraTrend</t>
  </si>
  <si>
    <t>P029</t>
  </si>
  <si>
    <t>2025-01-31</t>
  </si>
  <si>
    <t>#MyntraTrend,#MyntraFashion</t>
  </si>
  <si>
    <t>P030</t>
  </si>
  <si>
    <t>2025-02-25</t>
  </si>
  <si>
    <t>P031</t>
  </si>
  <si>
    <t>2024-12-16</t>
  </si>
  <si>
    <t>P032</t>
  </si>
  <si>
    <t>2024-07-31</t>
  </si>
  <si>
    <t>P033</t>
  </si>
  <si>
    <t>2024-08-21</t>
  </si>
  <si>
    <t>P034</t>
  </si>
  <si>
    <t>2025-03-26</t>
  </si>
  <si>
    <t>#MyntraTrend,#FashionDeals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</si>
  <si>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</si>
  <si>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</si>
  <si>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</si>
  <si>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</si>
  <si>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</si>
  <si>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</si>
  <si>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</si>
  <si>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</si>
  <si>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</si>
  <si>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</si>
  <si>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#FashionDeals,#MyntraSale</t>
  </si>
  <si>
    <t>P040</t>
  </si>
  <si>
    <t>2025-03-07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</si>
  <si>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</si>
  <si>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</si>
  <si>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</si>
  <si>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</si>
  <si>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</si>
  <si>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</si>
  <si>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</si>
  <si>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</si>
  <si>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</si>
  <si>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</si>
  <si>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</si>
  <si>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</si>
  <si>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P047</t>
  </si>
  <si>
    <t>2025-02-24</t>
  </si>
  <si>
    <t>#FashionDeals,#MyntraFashion</t>
  </si>
  <si>
    <t>P048</t>
  </si>
  <si>
    <t>#MyntraFashion,#StyleWithMyntra</t>
  </si>
  <si>
    <t>P049</t>
  </si>
  <si>
    <t>2024-06-10</t>
  </si>
  <si>
    <t>P050</t>
  </si>
  <si>
    <t>2024-07-03</t>
  </si>
  <si>
    <t>P051</t>
  </si>
  <si>
    <t>2024-06-13</t>
  </si>
  <si>
    <t>P052</t>
  </si>
  <si>
    <t>2025-01-03</t>
  </si>
  <si>
    <t>P053</t>
  </si>
  <si>
    <t>P054</t>
  </si>
  <si>
    <t>2025-03-13</t>
  </si>
  <si>
    <t>P055</t>
  </si>
  <si>
    <t>2024-06-17</t>
  </si>
  <si>
    <t>P056</t>
  </si>
  <si>
    <t>2024-12-18</t>
  </si>
  <si>
    <t>#StyleWithMyntra,#FashionDeals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</si>
  <si>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</si>
  <si>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</si>
  <si>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</si>
  <si>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</si>
  <si>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</si>
  <si>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</si>
  <si>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</si>
  <si>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</si>
  <si>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P061</t>
  </si>
  <si>
    <t>2024-09-05</t>
  </si>
  <si>
    <t>P062</t>
  </si>
  <si>
    <t>2024-11-22</t>
  </si>
  <si>
    <t>P063</t>
  </si>
  <si>
    <t>P064</t>
  </si>
  <si>
    <t>2024-08-17</t>
  </si>
  <si>
    <t>#FashionDeals,#MyntraTrend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</si>
  <si>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</si>
  <si>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</si>
  <si>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</si>
  <si>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</si>
  <si>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</si>
  <si>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</si>
  <si>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</si>
  <si>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</si>
  <si>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</si>
  <si>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</si>
  <si>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</si>
  <si>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</si>
  <si>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</si>
  <si>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</si>
  <si>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</si>
  <si>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</si>
  <si>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</si>
  <si>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</si>
  <si>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</si>
  <si>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</si>
  <si>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</si>
  <si>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</si>
  <si>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</si>
  <si>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</si>
  <si>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</si>
  <si>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</si>
  <si>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</si>
  <si>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</si>
  <si>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</si>
  <si>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</si>
  <si>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#MyntraTrend,#MyntraSale</t>
  </si>
  <si>
    <t>P082</t>
  </si>
  <si>
    <t>2024-07-24</t>
  </si>
  <si>
    <t>P083</t>
  </si>
  <si>
    <t>2024-10-15</t>
  </si>
  <si>
    <t>#MyntraTrend,#StyleWithMyntra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</si>
  <si>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</si>
  <si>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</si>
  <si>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</si>
  <si>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</si>
  <si>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</si>
  <si>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</si>
  <si>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</si>
  <si>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</si>
  <si>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</si>
  <si>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</si>
  <si>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</si>
  <si>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</si>
  <si>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</si>
  <si>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</si>
  <si>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</si>
  <si>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</si>
  <si>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</si>
  <si>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</si>
  <si>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</si>
  <si>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</si>
  <si>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</si>
  <si>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</si>
  <si>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</si>
  <si>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</si>
  <si>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</si>
  <si>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</si>
  <si>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</si>
  <si>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</si>
  <si>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</si>
  <si>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</si>
  <si>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</si>
  <si>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</si>
  <si>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</si>
  <si>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</si>
  <si>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</si>
  <si>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</si>
  <si>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</si>
  <si>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</si>
  <si>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</si>
  <si>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</si>
  <si>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</si>
  <si>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</si>
  <si>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</si>
  <si>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</si>
  <si>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</si>
  <si>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</si>
  <si>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</si>
  <si>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</si>
  <si>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</si>
  <si>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#FashionDeals,#StyleWithMyntra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</si>
  <si>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</si>
  <si>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</si>
  <si>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</si>
  <si>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</si>
  <si>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</si>
  <si>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</si>
  <si>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</si>
  <si>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</si>
  <si>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</si>
  <si>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</si>
  <si>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</si>
  <si>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</si>
  <si>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</si>
  <si>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</si>
  <si>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</si>
  <si>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</si>
  <si>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</si>
  <si>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</si>
  <si>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</si>
  <si>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</si>
  <si>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#MyntraFashion,#MyntraTrend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</si>
  <si>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</si>
  <si>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</si>
  <si>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</si>
  <si>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</si>
  <si>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</si>
  <si>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</si>
  <si>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</si>
  <si>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</si>
  <si>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</si>
  <si>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</si>
  <si>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</si>
  <si>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</si>
  <si>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</si>
  <si>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</si>
  <si>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</si>
  <si>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</si>
  <si>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</si>
  <si>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</si>
  <si>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</si>
  <si>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</si>
  <si>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</si>
  <si>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</si>
  <si>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</si>
  <si>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</si>
  <si>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</si>
  <si>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</si>
  <si>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</si>
  <si>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</si>
  <si>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</si>
  <si>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</si>
  <si>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</si>
  <si>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</si>
  <si>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</si>
  <si>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</si>
  <si>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</si>
  <si>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</si>
  <si>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</si>
  <si>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</si>
  <si>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</si>
  <si>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</si>
  <si>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</si>
  <si>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</si>
  <si>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</si>
  <si>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</si>
  <si>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</si>
  <si>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</si>
  <si>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</si>
  <si>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</si>
  <si>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</si>
  <si>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</si>
  <si>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</si>
  <si>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</si>
  <si>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</si>
  <si>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</si>
  <si>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</si>
  <si>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</si>
  <si>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</si>
  <si>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</si>
  <si>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</si>
  <si>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</si>
  <si>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</si>
  <si>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</si>
  <si>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</si>
  <si>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</si>
  <si>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</si>
  <si>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</si>
  <si>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</si>
  <si>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</si>
  <si>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</si>
  <si>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</si>
  <si>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</si>
  <si>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</si>
  <si>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</si>
  <si>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</si>
  <si>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</si>
  <si>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</si>
  <si>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</si>
  <si>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</si>
  <si>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</si>
  <si>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</si>
  <si>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</si>
  <si>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</si>
  <si>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</si>
  <si>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</si>
  <si>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</si>
  <si>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</si>
  <si>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</si>
  <si>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</si>
  <si>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</si>
  <si>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</si>
  <si>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</si>
  <si>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</si>
  <si>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</si>
  <si>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</si>
  <si>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</si>
  <si>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</si>
  <si>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</si>
  <si>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</si>
  <si>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</si>
  <si>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</si>
  <si>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</si>
  <si>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</si>
  <si>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</si>
  <si>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</si>
  <si>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</si>
  <si>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</si>
  <si>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</si>
  <si>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</si>
  <si>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</si>
  <si>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</si>
  <si>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</si>
  <si>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</si>
  <si>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</si>
  <si>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</si>
  <si>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</si>
  <si>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</si>
  <si>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</si>
  <si>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</si>
  <si>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</si>
  <si>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</si>
  <si>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</si>
  <si>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</si>
  <si>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</si>
  <si>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</si>
  <si>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</si>
  <si>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</si>
  <si>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</si>
  <si>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</si>
  <si>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</si>
  <si>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</si>
  <si>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</si>
  <si>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</si>
  <si>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</si>
  <si>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</si>
  <si>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</si>
  <si>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</si>
  <si>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</si>
  <si>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</si>
  <si>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</si>
  <si>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</si>
  <si>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</si>
  <si>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</si>
  <si>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</si>
  <si>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</si>
  <si>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</si>
  <si>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</si>
  <si>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</si>
  <si>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</si>
  <si>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</si>
  <si>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</si>
  <si>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</si>
  <si>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</si>
  <si>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</si>
  <si>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</si>
  <si>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</si>
  <si>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</si>
  <si>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</si>
  <si>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</si>
  <si>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</si>
  <si>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</si>
  <si>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</si>
  <si>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</si>
  <si>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</si>
  <si>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</si>
  <si>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</si>
  <si>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</si>
  <si>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</si>
  <si>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</si>
  <si>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</si>
  <si>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</si>
  <si>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</si>
  <si>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</si>
  <si>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</si>
  <si>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</si>
  <si>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</si>
  <si>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</si>
  <si>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</si>
  <si>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</si>
  <si>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</si>
  <si>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</si>
  <si>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</si>
  <si>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</si>
  <si>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</si>
  <si>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</si>
  <si>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</si>
  <si>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</si>
  <si>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</si>
  <si>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</si>
  <si>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</si>
  <si>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</si>
  <si>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</si>
  <si>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</si>
  <si>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</si>
  <si>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</si>
  <si>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</si>
  <si>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</si>
  <si>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</si>
  <si>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</si>
  <si>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</si>
  <si>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</si>
  <si>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</si>
  <si>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</si>
  <si>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</si>
  <si>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</si>
  <si>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P258</t>
  </si>
  <si>
    <t>2024-08-05</t>
  </si>
  <si>
    <t>P259</t>
  </si>
  <si>
    <t>P260</t>
  </si>
  <si>
    <t>2025-02-12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</si>
  <si>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</si>
  <si>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</si>
  <si>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</si>
  <si>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</si>
  <si>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</si>
  <si>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</si>
  <si>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</si>
  <si>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</si>
  <si>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</si>
  <si>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</si>
  <si>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</si>
  <si>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</si>
  <si>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</si>
  <si>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</si>
  <si>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</si>
  <si>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</si>
  <si>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</si>
  <si>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</si>
  <si>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</si>
  <si>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</si>
  <si>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</si>
  <si>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</si>
  <si>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</si>
  <si>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</si>
  <si>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</si>
  <si>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</si>
  <si>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</si>
  <si>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</si>
  <si>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</si>
  <si>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</si>
  <si>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</si>
  <si>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</si>
  <si>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</si>
  <si>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</si>
  <si>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</si>
  <si>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</si>
  <si>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</si>
  <si>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</si>
  <si>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</si>
  <si>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</si>
  <si>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</si>
  <si>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</si>
  <si>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</si>
  <si>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</si>
  <si>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</si>
  <si>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</si>
  <si>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</si>
  <si>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</si>
  <si>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</si>
  <si>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</si>
  <si>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</si>
  <si>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</si>
  <si>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</si>
  <si>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</si>
  <si>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</si>
  <si>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</si>
  <si>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</si>
  <si>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</si>
  <si>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</si>
  <si>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</si>
  <si>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</si>
  <si>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</si>
  <si>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</si>
  <si>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</si>
  <si>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NetGrowth</t>
  </si>
  <si>
    <t>NetGrowth_3W_MA</t>
  </si>
  <si>
    <t>Total_Followers</t>
  </si>
  <si>
    <t>Engagement_Rate</t>
  </si>
  <si>
    <t>Ad_Spend</t>
  </si>
  <si>
    <t>Start_Date</t>
  </si>
  <si>
    <t>End_Date</t>
  </si>
  <si>
    <t>Objective</t>
  </si>
  <si>
    <t>Total_Budget</t>
  </si>
  <si>
    <t>Target_Platforms</t>
  </si>
  <si>
    <t>Seasonal Clearance Promotion</t>
  </si>
  <si>
    <t>Instagram,Facebook</t>
  </si>
  <si>
    <t>Customer Engagement</t>
  </si>
  <si>
    <t>Instagram,YouTube</t>
  </si>
  <si>
    <t>Festive Collection Launch</t>
  </si>
  <si>
    <t>Facebook,Instagram</t>
  </si>
  <si>
    <t>Brand Awareness &amp; Growth</t>
  </si>
  <si>
    <t>Instagram,Twitter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</si>
</sst>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14" xfId="0" applyFont="1" applyNumberFormat="1"/>
    <xf borderId="2" fillId="0" fontId="3" numFmtId="0" xfId="0" applyAlignment="1" applyBorder="1" applyFont="1">
      <alignment shrinkToFit="0" wrapText="1"/>
    </xf>
    <xf borderId="2" fillId="0" fontId="3" numFmtId="14" xfId="0" applyAlignment="1" applyBorder="1" applyFont="1" applyNumberFormat="1">
      <alignment shrinkToFit="0" wrapText="1"/>
    </xf>
    <xf borderId="2" fillId="0" fontId="3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shrinkToFit="0" wrapText="1"/>
    </xf>
    <xf borderId="2" fillId="0" fontId="4" numFmtId="14" xfId="0" applyAlignment="1" applyBorder="1" applyFont="1" applyNumberFormat="1">
      <alignment horizontal="right" shrinkToFit="0" wrapText="1"/>
    </xf>
    <xf borderId="2" fillId="0" fontId="4" numFmtId="0" xfId="0" applyAlignment="1" applyBorder="1" applyFont="1">
      <alignment horizontal="right" shrinkToFit="0" wrapText="1"/>
    </xf>
    <xf borderId="2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Week_Start_Date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'Engagment Summary'!$E$1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'Engagment Summary'!$A$2:$A$1000</c:f>
            </c:strRef>
          </c:cat>
          <c:val>
            <c:numRef>
              <c:f>'Engagment Summary'!$E$2:$E$1000</c:f>
              <c:numCache/>
            </c:numRef>
          </c:val>
          <c:smooth val="1"/>
        </c:ser>
        <c:ser>
          <c:idx val="1"/>
          <c:order val="1"/>
          <c:tx>
            <c:strRef>
              <c:f>'Engagment Summary'!$F$1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'Engagment Summary'!$A$2:$A$1000</c:f>
            </c:strRef>
          </c:cat>
          <c:val>
            <c:numRef>
              <c:f>'Engagment Summary'!$F$2:$F$200</c:f>
              <c:numCache/>
            </c:numRef>
          </c:val>
          <c:smooth val="1"/>
        </c:ser>
        <c:axId val="482153370"/>
        <c:axId val="1445062029"/>
      </c:lineChart>
      <c:catAx>
        <c:axId val="48215337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45062029"/>
      </c:catAx>
      <c:valAx>
        <c:axId val="14450620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Week_Start_Date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215337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Weekly NetGrowth &amp; 3‑week MA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'Engagment Summary'!$E$1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'Engagment Summary'!$I$2:$I$201</c:f>
            </c:numRef>
          </c:xVal>
          <c:yVal>
            <c:numRef>
              <c:f>'Engagment Summary'!$E$2:$E$201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30206130"/>
        <c:axId val="1912924797"/>
      </c:scatterChart>
      <c:valAx>
        <c:axId val="1930206130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2924797"/>
      </c:valAx>
      <c:valAx>
        <c:axId val="191292479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Week_Start_Date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0206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Ad Spend vs NetGrowth – Instagram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'Engagment Summary'!$E$1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'Engagment Summary'!$I$2:$I$201</c:f>
            </c:numRef>
          </c:xVal>
          <c:yVal>
            <c:numRef>
              <c:f>'Engagment Summary'!$E$2:$E$201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5824565"/>
        <c:axId val="1799342970"/>
      </c:scatterChart>
      <c:valAx>
        <c:axId val="62582456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9342970"/>
      </c:valAx>
      <c:valAx>
        <c:axId val="17993429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Week_Start_Date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2582456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47625</xdr:colOff>
      <xdr:row>1</xdr:row>
      <xdr:rowOff>161925</xdr:rowOff>
    </xdr:from>
    <xdr:ext cx="3343275" cy="31908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409575</xdr:colOff>
      <xdr:row>21</xdr:row>
      <xdr:rowOff>66675</xdr:rowOff>
    </xdr:from>
    <xdr:ext cx="2619375" cy="16097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11</xdr:col>
      <xdr:colOff>409575</xdr:colOff>
      <xdr:row>36</xdr:row>
      <xdr:rowOff>66675</xdr:rowOff>
    </xdr:from>
    <xdr:ext cx="2619375" cy="160972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10.0"/>
    <col customWidth="1" min="5" max="5" width="17.43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4.25" customHeight="1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1461.0</v>
      </c>
      <c r="G2" s="2">
        <v>184.0</v>
      </c>
      <c r="H2" s="2">
        <v>344.0</v>
      </c>
      <c r="I2" s="2">
        <v>21915.0</v>
      </c>
      <c r="J2" s="2">
        <v>21675.0</v>
      </c>
      <c r="K2" s="2">
        <v>15.0</v>
      </c>
      <c r="L2" s="2" t="s">
        <v>18</v>
      </c>
      <c r="M2" s="2" t="s">
        <v>19</v>
      </c>
    </row>
    <row r="3" ht="14.25" customHeight="1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4054.0</v>
      </c>
      <c r="G3" s="2">
        <v>389.0</v>
      </c>
      <c r="H3" s="2">
        <v>493.0</v>
      </c>
      <c r="I3" s="2">
        <v>64864.0</v>
      </c>
      <c r="J3" s="2">
        <v>64383.0</v>
      </c>
      <c r="K3" s="2">
        <v>117.0</v>
      </c>
      <c r="L3" s="2" t="s">
        <v>24</v>
      </c>
      <c r="M3" s="2" t="s">
        <v>25</v>
      </c>
    </row>
    <row r="4" ht="14.25" customHeight="1">
      <c r="A4" s="2" t="s">
        <v>26</v>
      </c>
      <c r="B4" s="2" t="s">
        <v>27</v>
      </c>
      <c r="C4" s="2" t="s">
        <v>28</v>
      </c>
      <c r="D4" s="2" t="s">
        <v>16</v>
      </c>
      <c r="E4" s="2" t="s">
        <v>17</v>
      </c>
      <c r="F4" s="2">
        <v>2795.0</v>
      </c>
      <c r="G4" s="2">
        <v>105.0</v>
      </c>
      <c r="H4" s="2">
        <v>49.0</v>
      </c>
      <c r="I4" s="2">
        <v>53105.0</v>
      </c>
      <c r="J4" s="2">
        <v>52307.0</v>
      </c>
      <c r="K4" s="2">
        <v>204.0</v>
      </c>
      <c r="L4" s="2" t="s">
        <v>29</v>
      </c>
      <c r="M4" s="2" t="s">
        <v>19</v>
      </c>
    </row>
    <row r="5" ht="14.25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>
        <v>2404.0</v>
      </c>
      <c r="G5" s="2">
        <v>363.0</v>
      </c>
      <c r="H5" s="2">
        <v>138.0</v>
      </c>
      <c r="I5" s="2">
        <v>19232.0</v>
      </c>
      <c r="J5" s="2">
        <v>18636.0</v>
      </c>
      <c r="K5" s="2">
        <v>128.0</v>
      </c>
      <c r="L5" s="2" t="s">
        <v>18</v>
      </c>
      <c r="M5" s="2" t="s">
        <v>19</v>
      </c>
    </row>
    <row r="6" ht="14.25" customHeight="1">
      <c r="A6" s="2" t="s">
        <v>35</v>
      </c>
      <c r="B6" s="2" t="s">
        <v>27</v>
      </c>
      <c r="C6" s="2" t="s">
        <v>36</v>
      </c>
      <c r="D6" s="2" t="s">
        <v>16</v>
      </c>
      <c r="E6" s="2" t="s">
        <v>17</v>
      </c>
      <c r="F6" s="2">
        <v>3557.0</v>
      </c>
      <c r="G6" s="2">
        <v>687.0</v>
      </c>
      <c r="H6" s="2">
        <v>424.0</v>
      </c>
      <c r="I6" s="2">
        <v>71140.0</v>
      </c>
      <c r="J6" s="2">
        <v>70701.0</v>
      </c>
      <c r="K6" s="2">
        <v>224.0</v>
      </c>
      <c r="L6" s="2" t="s">
        <v>37</v>
      </c>
      <c r="M6" s="2" t="s">
        <v>38</v>
      </c>
    </row>
    <row r="7" ht="14.25" customHeight="1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>
        <v>2945.0</v>
      </c>
      <c r="G7" s="2">
        <v>930.0</v>
      </c>
      <c r="H7" s="2">
        <v>355.0</v>
      </c>
      <c r="I7" s="2">
        <v>23560.0</v>
      </c>
      <c r="J7" s="2">
        <v>23275.0</v>
      </c>
      <c r="K7" s="2">
        <v>256.0</v>
      </c>
      <c r="L7" s="2" t="s">
        <v>44</v>
      </c>
      <c r="M7" s="2" t="s">
        <v>25</v>
      </c>
    </row>
    <row r="8" ht="14.25" customHeight="1">
      <c r="A8" s="2" t="s">
        <v>45</v>
      </c>
      <c r="B8" s="2" t="s">
        <v>14</v>
      </c>
      <c r="C8" s="2" t="s">
        <v>46</v>
      </c>
      <c r="D8" s="2" t="s">
        <v>42</v>
      </c>
      <c r="E8" s="2" t="s">
        <v>43</v>
      </c>
      <c r="F8" s="2">
        <v>3860.0</v>
      </c>
      <c r="G8" s="2">
        <v>201.0</v>
      </c>
      <c r="H8" s="2">
        <v>279.0</v>
      </c>
      <c r="I8" s="2">
        <v>61760.0</v>
      </c>
      <c r="J8" s="2">
        <v>61660.0</v>
      </c>
      <c r="K8" s="2">
        <v>235.0</v>
      </c>
      <c r="L8" s="2" t="s">
        <v>44</v>
      </c>
      <c r="M8" s="2" t="s">
        <v>38</v>
      </c>
    </row>
    <row r="9" ht="14.25" customHeight="1">
      <c r="A9" s="2" t="s">
        <v>47</v>
      </c>
      <c r="B9" s="2" t="s">
        <v>27</v>
      </c>
      <c r="C9" s="2" t="s">
        <v>48</v>
      </c>
      <c r="D9" s="2" t="s">
        <v>49</v>
      </c>
      <c r="E9" s="2" t="s">
        <v>50</v>
      </c>
      <c r="F9" s="2">
        <v>3929.0</v>
      </c>
      <c r="G9" s="2">
        <v>262.0</v>
      </c>
      <c r="H9" s="2">
        <v>278.0</v>
      </c>
      <c r="I9" s="2">
        <v>43219.0</v>
      </c>
      <c r="J9" s="2">
        <v>42841.0</v>
      </c>
      <c r="K9" s="2">
        <v>39.0</v>
      </c>
      <c r="L9" s="2" t="s">
        <v>29</v>
      </c>
      <c r="M9" s="2" t="s">
        <v>38</v>
      </c>
    </row>
    <row r="10" ht="14.25" customHeight="1">
      <c r="A10" s="2" t="s">
        <v>51</v>
      </c>
      <c r="B10" s="2" t="s">
        <v>40</v>
      </c>
      <c r="C10" s="2" t="s">
        <v>52</v>
      </c>
      <c r="D10" s="2" t="s">
        <v>22</v>
      </c>
      <c r="E10" s="2" t="s">
        <v>23</v>
      </c>
      <c r="F10" s="2">
        <v>3784.0</v>
      </c>
      <c r="G10" s="2">
        <v>808.0</v>
      </c>
      <c r="H10" s="2">
        <v>404.0</v>
      </c>
      <c r="I10" s="2">
        <v>56760.0</v>
      </c>
      <c r="J10" s="2">
        <v>56343.0</v>
      </c>
      <c r="K10" s="2">
        <v>131.0</v>
      </c>
      <c r="L10" s="2" t="s">
        <v>29</v>
      </c>
      <c r="M10" s="2" t="s">
        <v>38</v>
      </c>
    </row>
    <row r="11" ht="14.25" customHeight="1">
      <c r="A11" s="2" t="s">
        <v>53</v>
      </c>
      <c r="B11" s="2" t="s">
        <v>40</v>
      </c>
      <c r="C11" s="2" t="s">
        <v>54</v>
      </c>
      <c r="D11" s="2" t="s">
        <v>49</v>
      </c>
      <c r="E11" s="2" t="s">
        <v>50</v>
      </c>
      <c r="F11" s="2">
        <v>4241.0</v>
      </c>
      <c r="G11" s="2">
        <v>902.0</v>
      </c>
      <c r="H11" s="2">
        <v>47.0</v>
      </c>
      <c r="I11" s="2">
        <v>72097.0</v>
      </c>
      <c r="J11" s="2">
        <v>71598.0</v>
      </c>
      <c r="K11" s="2">
        <v>167.0</v>
      </c>
      <c r="L11" s="2" t="s">
        <v>44</v>
      </c>
      <c r="M11" s="2" t="s">
        <v>55</v>
      </c>
    </row>
    <row r="12" ht="14.25" customHeight="1">
      <c r="A12" s="2" t="s">
        <v>56</v>
      </c>
      <c r="B12" s="2" t="s">
        <v>31</v>
      </c>
      <c r="C12" s="2" t="s">
        <v>57</v>
      </c>
      <c r="D12" s="2" t="s">
        <v>33</v>
      </c>
      <c r="E12" s="2" t="s">
        <v>34</v>
      </c>
      <c r="F12" s="2">
        <v>1792.0</v>
      </c>
      <c r="G12" s="2">
        <v>614.0</v>
      </c>
      <c r="H12" s="2">
        <v>497.0</v>
      </c>
      <c r="I12" s="2">
        <v>25088.0</v>
      </c>
      <c r="J12" s="2">
        <v>24675.0</v>
      </c>
      <c r="K12" s="2">
        <v>65.0</v>
      </c>
      <c r="L12" s="2" t="s">
        <v>58</v>
      </c>
      <c r="M12" s="2" t="s">
        <v>19</v>
      </c>
    </row>
    <row r="13" ht="14.25" customHeight="1">
      <c r="A13" s="2" t="s">
        <v>59</v>
      </c>
      <c r="B13" s="2" t="s">
        <v>40</v>
      </c>
      <c r="C13" s="2" t="s">
        <v>60</v>
      </c>
      <c r="D13" s="2" t="s">
        <v>16</v>
      </c>
      <c r="E13" s="2" t="s">
        <v>17</v>
      </c>
      <c r="F13" s="2">
        <v>1946.0</v>
      </c>
      <c r="G13" s="2">
        <v>686.0</v>
      </c>
      <c r="H13" s="2">
        <v>377.0</v>
      </c>
      <c r="I13" s="2">
        <v>23352.0</v>
      </c>
      <c r="J13" s="2">
        <v>22982.0</v>
      </c>
      <c r="K13" s="2">
        <v>213.0</v>
      </c>
      <c r="L13" s="2" t="s">
        <v>61</v>
      </c>
      <c r="M13" s="2" t="s">
        <v>38</v>
      </c>
    </row>
    <row r="14" ht="14.25" customHeight="1">
      <c r="A14" s="2" t="s">
        <v>62</v>
      </c>
      <c r="B14" s="2" t="s">
        <v>27</v>
      </c>
      <c r="C14" s="2" t="s">
        <v>63</v>
      </c>
      <c r="D14" s="2" t="s">
        <v>42</v>
      </c>
      <c r="E14" s="2" t="s">
        <v>43</v>
      </c>
      <c r="F14" s="2">
        <v>1171.0</v>
      </c>
      <c r="G14" s="2">
        <v>286.0</v>
      </c>
      <c r="H14" s="2">
        <v>231.0</v>
      </c>
      <c r="I14" s="2">
        <v>22249.0</v>
      </c>
      <c r="J14" s="2">
        <v>21282.0</v>
      </c>
      <c r="K14" s="2">
        <v>114.0</v>
      </c>
      <c r="L14" s="2" t="s">
        <v>24</v>
      </c>
      <c r="M14" s="2" t="s">
        <v>55</v>
      </c>
    </row>
    <row r="15" ht="14.25" customHeight="1">
      <c r="A15" s="2" t="s">
        <v>64</v>
      </c>
      <c r="B15" s="2" t="s">
        <v>40</v>
      </c>
      <c r="C15" s="2" t="s">
        <v>65</v>
      </c>
      <c r="D15" s="2" t="s">
        <v>33</v>
      </c>
      <c r="E15" s="2" t="s">
        <v>34</v>
      </c>
      <c r="F15" s="2">
        <v>4242.0</v>
      </c>
      <c r="G15" s="2">
        <v>555.0</v>
      </c>
      <c r="H15" s="2">
        <v>131.0</v>
      </c>
      <c r="I15" s="2">
        <v>33936.0</v>
      </c>
      <c r="J15" s="2">
        <v>33802.0</v>
      </c>
      <c r="K15" s="2">
        <v>265.0</v>
      </c>
      <c r="L15" s="2" t="s">
        <v>66</v>
      </c>
      <c r="M15" s="2" t="s">
        <v>38</v>
      </c>
    </row>
    <row r="16" ht="14.25" customHeight="1">
      <c r="A16" s="2" t="s">
        <v>67</v>
      </c>
      <c r="B16" s="2" t="s">
        <v>40</v>
      </c>
      <c r="C16" s="2" t="s">
        <v>68</v>
      </c>
      <c r="D16" s="2" t="s">
        <v>69</v>
      </c>
      <c r="E16" s="2" t="s">
        <v>70</v>
      </c>
      <c r="F16" s="2">
        <v>3888.0</v>
      </c>
      <c r="G16" s="2">
        <v>604.0</v>
      </c>
      <c r="H16" s="2">
        <v>128.0</v>
      </c>
      <c r="I16" s="2">
        <v>77760.0</v>
      </c>
      <c r="J16" s="2">
        <v>77167.0</v>
      </c>
      <c r="K16" s="2">
        <v>20.0</v>
      </c>
      <c r="L16" s="2" t="s">
        <v>71</v>
      </c>
      <c r="M16" s="2" t="s">
        <v>19</v>
      </c>
    </row>
    <row r="17" ht="14.25" customHeight="1">
      <c r="A17" s="2" t="s">
        <v>72</v>
      </c>
      <c r="B17" s="2" t="s">
        <v>40</v>
      </c>
      <c r="C17" s="2" t="s">
        <v>73</v>
      </c>
      <c r="D17" s="2" t="s">
        <v>22</v>
      </c>
      <c r="E17" s="2" t="s">
        <v>23</v>
      </c>
      <c r="F17" s="2">
        <v>3452.0</v>
      </c>
      <c r="G17" s="2">
        <v>377.0</v>
      </c>
      <c r="H17" s="2">
        <v>360.0</v>
      </c>
      <c r="I17" s="2">
        <v>55232.0</v>
      </c>
      <c r="J17" s="2">
        <v>55075.0</v>
      </c>
      <c r="K17" s="2">
        <v>87.0</v>
      </c>
      <c r="L17" s="2" t="s">
        <v>74</v>
      </c>
      <c r="M17" s="2" t="s">
        <v>38</v>
      </c>
    </row>
    <row r="18" ht="14.25" customHeight="1">
      <c r="A18" s="2" t="s">
        <v>75</v>
      </c>
      <c r="B18" s="2" t="s">
        <v>40</v>
      </c>
      <c r="C18" s="2" t="s">
        <v>76</v>
      </c>
      <c r="D18" s="2" t="s">
        <v>22</v>
      </c>
      <c r="E18" s="2" t="s">
        <v>23</v>
      </c>
      <c r="F18" s="2">
        <v>4441.0</v>
      </c>
      <c r="G18" s="2">
        <v>511.0</v>
      </c>
      <c r="H18" s="2">
        <v>70.0</v>
      </c>
      <c r="I18" s="2">
        <v>53292.0</v>
      </c>
      <c r="J18" s="2">
        <v>53082.0</v>
      </c>
      <c r="K18" s="2">
        <v>159.0</v>
      </c>
      <c r="L18" s="2" t="s">
        <v>77</v>
      </c>
      <c r="M18" s="2" t="s">
        <v>38</v>
      </c>
    </row>
    <row r="19" ht="14.25" customHeight="1">
      <c r="A19" s="2" t="s">
        <v>78</v>
      </c>
      <c r="B19" s="2" t="s">
        <v>31</v>
      </c>
      <c r="C19" s="2" t="s">
        <v>79</v>
      </c>
      <c r="D19" s="2" t="s">
        <v>16</v>
      </c>
      <c r="E19" s="2" t="s">
        <v>17</v>
      </c>
      <c r="F19" s="2">
        <v>3000.0</v>
      </c>
      <c r="G19" s="2">
        <v>382.0</v>
      </c>
      <c r="H19" s="2">
        <v>325.0</v>
      </c>
      <c r="I19" s="2">
        <v>36000.0</v>
      </c>
      <c r="J19" s="2">
        <v>35819.0</v>
      </c>
      <c r="K19" s="2">
        <v>19.0</v>
      </c>
      <c r="L19" s="2" t="s">
        <v>58</v>
      </c>
      <c r="M19" s="2" t="s">
        <v>25</v>
      </c>
    </row>
    <row r="20" ht="14.25" customHeight="1">
      <c r="A20" s="2" t="s">
        <v>80</v>
      </c>
      <c r="B20" s="2" t="s">
        <v>31</v>
      </c>
      <c r="C20" s="2" t="s">
        <v>81</v>
      </c>
      <c r="D20" s="2" t="s">
        <v>69</v>
      </c>
      <c r="E20" s="2" t="s">
        <v>70</v>
      </c>
      <c r="F20" s="2">
        <v>1071.0</v>
      </c>
      <c r="G20" s="2">
        <v>519.0</v>
      </c>
      <c r="H20" s="2">
        <v>22.0</v>
      </c>
      <c r="I20" s="2">
        <v>16065.0</v>
      </c>
      <c r="J20" s="2">
        <v>15865.0</v>
      </c>
      <c r="K20" s="2">
        <v>103.0</v>
      </c>
      <c r="L20" s="2" t="s">
        <v>82</v>
      </c>
      <c r="M20" s="2" t="s">
        <v>38</v>
      </c>
    </row>
    <row r="21" ht="14.25" customHeight="1">
      <c r="A21" s="2" t="s">
        <v>83</v>
      </c>
      <c r="B21" s="2" t="s">
        <v>31</v>
      </c>
      <c r="C21" s="2" t="s">
        <v>84</v>
      </c>
      <c r="D21" s="2" t="s">
        <v>42</v>
      </c>
      <c r="E21" s="2" t="s">
        <v>43</v>
      </c>
      <c r="F21" s="2">
        <v>4054.0</v>
      </c>
      <c r="G21" s="2">
        <v>488.0</v>
      </c>
      <c r="H21" s="2">
        <v>373.0</v>
      </c>
      <c r="I21" s="2">
        <v>77026.0</v>
      </c>
      <c r="J21" s="2">
        <v>76881.0</v>
      </c>
      <c r="K21" s="2">
        <v>25.0</v>
      </c>
      <c r="L21" s="2" t="s">
        <v>29</v>
      </c>
      <c r="M21" s="2" t="s">
        <v>38</v>
      </c>
    </row>
    <row r="22" ht="14.25" customHeight="1">
      <c r="A22" s="2" t="s">
        <v>85</v>
      </c>
      <c r="B22" s="2" t="s">
        <v>31</v>
      </c>
      <c r="C22" s="2" t="s">
        <v>86</v>
      </c>
      <c r="D22" s="2" t="s">
        <v>16</v>
      </c>
      <c r="E22" s="2" t="s">
        <v>17</v>
      </c>
      <c r="F22" s="2">
        <v>4838.0</v>
      </c>
      <c r="G22" s="2">
        <v>640.0</v>
      </c>
      <c r="H22" s="2">
        <v>128.0</v>
      </c>
      <c r="I22" s="2">
        <v>72570.0</v>
      </c>
      <c r="J22" s="2">
        <v>72396.0</v>
      </c>
      <c r="K22" s="2">
        <v>83.0</v>
      </c>
      <c r="L22" s="2" t="s">
        <v>87</v>
      </c>
      <c r="M22" s="2" t="s">
        <v>38</v>
      </c>
    </row>
    <row r="23" ht="14.25" customHeight="1">
      <c r="A23" s="2" t="s">
        <v>88</v>
      </c>
      <c r="B23" s="2" t="s">
        <v>40</v>
      </c>
      <c r="C23" s="2" t="s">
        <v>89</v>
      </c>
      <c r="D23" s="2" t="s">
        <v>22</v>
      </c>
      <c r="E23" s="2" t="s">
        <v>23</v>
      </c>
      <c r="F23" s="2">
        <v>1570.0</v>
      </c>
      <c r="G23" s="2">
        <v>187.0</v>
      </c>
      <c r="H23" s="2">
        <v>260.0</v>
      </c>
      <c r="I23" s="2">
        <v>25120.0</v>
      </c>
      <c r="J23" s="2">
        <v>24613.0</v>
      </c>
      <c r="K23" s="2">
        <v>133.0</v>
      </c>
      <c r="L23" s="2" t="s">
        <v>18</v>
      </c>
      <c r="M23" s="2" t="s">
        <v>55</v>
      </c>
    </row>
    <row r="24" ht="14.25" customHeight="1">
      <c r="A24" s="2" t="s">
        <v>90</v>
      </c>
      <c r="B24" s="2" t="s">
        <v>40</v>
      </c>
      <c r="C24" s="2" t="s">
        <v>91</v>
      </c>
      <c r="D24" s="2" t="s">
        <v>69</v>
      </c>
      <c r="E24" s="2" t="s">
        <v>70</v>
      </c>
      <c r="F24" s="2">
        <v>1606.0</v>
      </c>
      <c r="G24" s="2">
        <v>547.0</v>
      </c>
      <c r="H24" s="2">
        <v>316.0</v>
      </c>
      <c r="I24" s="2">
        <v>32120.0</v>
      </c>
      <c r="J24" s="2">
        <v>31736.0</v>
      </c>
      <c r="K24" s="2">
        <v>225.0</v>
      </c>
      <c r="L24" s="2" t="s">
        <v>18</v>
      </c>
      <c r="M24" s="2" t="s">
        <v>38</v>
      </c>
    </row>
    <row r="25" ht="14.25" customHeight="1">
      <c r="A25" s="2" t="s">
        <v>92</v>
      </c>
      <c r="B25" s="2" t="s">
        <v>40</v>
      </c>
      <c r="C25" s="2" t="s">
        <v>93</v>
      </c>
      <c r="D25" s="2" t="s">
        <v>69</v>
      </c>
      <c r="E25" s="2" t="s">
        <v>70</v>
      </c>
      <c r="F25" s="2">
        <v>3961.0</v>
      </c>
      <c r="G25" s="2">
        <v>761.0</v>
      </c>
      <c r="H25" s="2">
        <v>131.0</v>
      </c>
      <c r="I25" s="2">
        <v>67337.0</v>
      </c>
      <c r="J25" s="2">
        <v>66615.0</v>
      </c>
      <c r="K25" s="2">
        <v>161.0</v>
      </c>
      <c r="L25" s="2" t="s">
        <v>44</v>
      </c>
      <c r="M25" s="2" t="s">
        <v>25</v>
      </c>
    </row>
    <row r="26" ht="14.25" customHeight="1">
      <c r="A26" s="2" t="s">
        <v>94</v>
      </c>
      <c r="B26" s="2" t="s">
        <v>14</v>
      </c>
      <c r="C26" s="2" t="s">
        <v>95</v>
      </c>
      <c r="D26" s="2" t="s">
        <v>42</v>
      </c>
      <c r="E26" s="2" t="s">
        <v>43</v>
      </c>
      <c r="F26" s="2">
        <v>3128.0</v>
      </c>
      <c r="G26" s="2">
        <v>211.0</v>
      </c>
      <c r="H26" s="2">
        <v>197.0</v>
      </c>
      <c r="I26" s="2">
        <v>59432.0</v>
      </c>
      <c r="J26" s="2">
        <v>59182.0</v>
      </c>
      <c r="K26" s="2">
        <v>238.0</v>
      </c>
      <c r="L26" s="2" t="s">
        <v>61</v>
      </c>
      <c r="M26" s="2" t="s">
        <v>19</v>
      </c>
    </row>
    <row r="27" ht="14.25" customHeight="1">
      <c r="A27" s="2" t="s">
        <v>96</v>
      </c>
      <c r="B27" s="2" t="s">
        <v>27</v>
      </c>
      <c r="C27" s="2" t="s">
        <v>97</v>
      </c>
      <c r="D27" s="2" t="s">
        <v>16</v>
      </c>
      <c r="E27" s="2" t="s">
        <v>17</v>
      </c>
      <c r="F27" s="2">
        <v>3009.0</v>
      </c>
      <c r="G27" s="2">
        <v>413.0</v>
      </c>
      <c r="H27" s="2">
        <v>358.0</v>
      </c>
      <c r="I27" s="2">
        <v>42126.0</v>
      </c>
      <c r="J27" s="2">
        <v>41309.0</v>
      </c>
      <c r="K27" s="2">
        <v>211.0</v>
      </c>
      <c r="L27" s="2" t="s">
        <v>18</v>
      </c>
      <c r="M27" s="2" t="s">
        <v>25</v>
      </c>
    </row>
    <row r="28" ht="14.25" customHeight="1">
      <c r="A28" s="2" t="s">
        <v>98</v>
      </c>
      <c r="B28" s="2" t="s">
        <v>27</v>
      </c>
      <c r="C28" s="2" t="s">
        <v>99</v>
      </c>
      <c r="D28" s="2" t="s">
        <v>22</v>
      </c>
      <c r="E28" s="2" t="s">
        <v>23</v>
      </c>
      <c r="F28" s="2">
        <v>2076.0</v>
      </c>
      <c r="G28" s="2">
        <v>195.0</v>
      </c>
      <c r="H28" s="2">
        <v>104.0</v>
      </c>
      <c r="I28" s="2">
        <v>33216.0</v>
      </c>
      <c r="J28" s="2">
        <v>32244.0</v>
      </c>
      <c r="K28" s="2">
        <v>51.0</v>
      </c>
      <c r="L28" s="2" t="s">
        <v>44</v>
      </c>
      <c r="M28" s="2" t="s">
        <v>55</v>
      </c>
    </row>
    <row r="29" ht="14.25" customHeight="1">
      <c r="A29" s="2" t="s">
        <v>100</v>
      </c>
      <c r="B29" s="2" t="s">
        <v>31</v>
      </c>
      <c r="C29" s="2" t="s">
        <v>101</v>
      </c>
      <c r="D29" s="2" t="s">
        <v>69</v>
      </c>
      <c r="E29" s="2" t="s">
        <v>70</v>
      </c>
      <c r="F29" s="2">
        <v>432.0</v>
      </c>
      <c r="G29" s="2">
        <v>624.0</v>
      </c>
      <c r="H29" s="2">
        <v>123.0</v>
      </c>
      <c r="I29" s="2">
        <v>6912.0</v>
      </c>
      <c r="J29" s="2">
        <v>6259.0</v>
      </c>
      <c r="K29" s="2">
        <v>79.0</v>
      </c>
      <c r="L29" s="2" t="s">
        <v>102</v>
      </c>
      <c r="M29" s="2" t="s">
        <v>25</v>
      </c>
    </row>
    <row r="30" ht="14.25" customHeight="1">
      <c r="A30" s="2" t="s">
        <v>103</v>
      </c>
      <c r="B30" s="2" t="s">
        <v>31</v>
      </c>
      <c r="C30" s="2" t="s">
        <v>104</v>
      </c>
      <c r="D30" s="2" t="s">
        <v>42</v>
      </c>
      <c r="E30" s="2" t="s">
        <v>43</v>
      </c>
      <c r="F30" s="2">
        <v>2566.0</v>
      </c>
      <c r="G30" s="2">
        <v>118.0</v>
      </c>
      <c r="H30" s="2">
        <v>37.0</v>
      </c>
      <c r="I30" s="2">
        <v>12830.0</v>
      </c>
      <c r="J30" s="2">
        <v>12264.0</v>
      </c>
      <c r="K30" s="2">
        <v>221.0</v>
      </c>
      <c r="L30" s="2" t="s">
        <v>105</v>
      </c>
      <c r="M30" s="2" t="s">
        <v>38</v>
      </c>
    </row>
    <row r="31" ht="14.25" customHeight="1">
      <c r="A31" s="2" t="s">
        <v>106</v>
      </c>
      <c r="B31" s="2" t="s">
        <v>31</v>
      </c>
      <c r="C31" s="2" t="s">
        <v>107</v>
      </c>
      <c r="D31" s="2" t="s">
        <v>69</v>
      </c>
      <c r="E31" s="2" t="s">
        <v>70</v>
      </c>
      <c r="F31" s="2">
        <v>3095.0</v>
      </c>
      <c r="G31" s="2">
        <v>39.0</v>
      </c>
      <c r="H31" s="2">
        <v>78.0</v>
      </c>
      <c r="I31" s="2">
        <v>55710.0</v>
      </c>
      <c r="J31" s="2">
        <v>54808.0</v>
      </c>
      <c r="K31" s="2">
        <v>93.0</v>
      </c>
      <c r="L31" s="2" t="s">
        <v>18</v>
      </c>
      <c r="M31" s="2" t="s">
        <v>55</v>
      </c>
    </row>
    <row r="32" ht="14.25" customHeight="1">
      <c r="A32" s="2" t="s">
        <v>108</v>
      </c>
      <c r="B32" s="2" t="s">
        <v>31</v>
      </c>
      <c r="C32" s="2" t="s">
        <v>109</v>
      </c>
      <c r="D32" s="2" t="s">
        <v>22</v>
      </c>
      <c r="E32" s="2" t="s">
        <v>23</v>
      </c>
      <c r="F32" s="2">
        <v>438.0</v>
      </c>
      <c r="G32" s="2">
        <v>153.0</v>
      </c>
      <c r="H32" s="2">
        <v>275.0</v>
      </c>
      <c r="I32" s="2">
        <v>3066.0</v>
      </c>
      <c r="J32" s="2">
        <v>2701.0</v>
      </c>
      <c r="K32" s="2">
        <v>282.0</v>
      </c>
      <c r="L32" s="2" t="s">
        <v>44</v>
      </c>
      <c r="M32" s="2" t="s">
        <v>55</v>
      </c>
    </row>
    <row r="33" ht="14.25" customHeight="1">
      <c r="A33" s="2" t="s">
        <v>110</v>
      </c>
      <c r="B33" s="2" t="s">
        <v>14</v>
      </c>
      <c r="C33" s="2" t="s">
        <v>111</v>
      </c>
      <c r="D33" s="2" t="s">
        <v>42</v>
      </c>
      <c r="E33" s="2" t="s">
        <v>43</v>
      </c>
      <c r="F33" s="2">
        <v>2278.0</v>
      </c>
      <c r="G33" s="2">
        <v>10.0</v>
      </c>
      <c r="H33" s="2">
        <v>321.0</v>
      </c>
      <c r="I33" s="2">
        <v>13668.0</v>
      </c>
      <c r="J33" s="2">
        <v>12676.0</v>
      </c>
      <c r="K33" s="2">
        <v>275.0</v>
      </c>
      <c r="L33" s="2" t="s">
        <v>105</v>
      </c>
      <c r="M33" s="2" t="s">
        <v>55</v>
      </c>
    </row>
    <row r="34" ht="14.25" customHeight="1">
      <c r="A34" s="2" t="s">
        <v>112</v>
      </c>
      <c r="B34" s="2" t="s">
        <v>40</v>
      </c>
      <c r="C34" s="2" t="s">
        <v>113</v>
      </c>
      <c r="D34" s="2" t="s">
        <v>49</v>
      </c>
      <c r="E34" s="2" t="s">
        <v>50</v>
      </c>
      <c r="F34" s="2">
        <v>1407.0</v>
      </c>
      <c r="G34" s="2">
        <v>400.0</v>
      </c>
      <c r="H34" s="2">
        <v>351.0</v>
      </c>
      <c r="I34" s="2">
        <v>16884.0</v>
      </c>
      <c r="J34" s="2">
        <v>15954.0</v>
      </c>
      <c r="K34" s="2">
        <v>113.0</v>
      </c>
      <c r="L34" s="2" t="s">
        <v>71</v>
      </c>
      <c r="M34" s="2" t="s">
        <v>38</v>
      </c>
    </row>
    <row r="35" ht="14.25" customHeight="1">
      <c r="A35" s="2" t="s">
        <v>114</v>
      </c>
      <c r="B35" s="2" t="s">
        <v>40</v>
      </c>
      <c r="C35" s="2" t="s">
        <v>115</v>
      </c>
      <c r="D35" s="2" t="s">
        <v>22</v>
      </c>
      <c r="E35" s="2" t="s">
        <v>23</v>
      </c>
      <c r="F35" s="2">
        <v>1652.0</v>
      </c>
      <c r="G35" s="2">
        <v>89.0</v>
      </c>
      <c r="H35" s="2">
        <v>357.0</v>
      </c>
      <c r="I35" s="2">
        <v>29736.0</v>
      </c>
      <c r="J35" s="2">
        <v>28771.0</v>
      </c>
      <c r="K35" s="2">
        <v>215.0</v>
      </c>
      <c r="L35" s="2" t="s">
        <v>116</v>
      </c>
      <c r="M35" s="2" t="s">
        <v>25</v>
      </c>
    </row>
    <row r="36" ht="14.25" customHeight="1">
      <c r="A36" s="2" t="s">
        <v>117</v>
      </c>
      <c r="B36" s="2" t="s">
        <v>31</v>
      </c>
      <c r="C36" s="2" t="s">
        <v>118</v>
      </c>
      <c r="D36" s="2" t="s">
        <v>69</v>
      </c>
      <c r="E36" s="2" t="s">
        <v>70</v>
      </c>
      <c r="F36" s="2">
        <v>3775.0</v>
      </c>
      <c r="G36" s="2">
        <v>16.0</v>
      </c>
      <c r="H36" s="2">
        <v>239.0</v>
      </c>
      <c r="I36" s="2">
        <v>33975.0</v>
      </c>
      <c r="J36" s="2">
        <v>33310.0</v>
      </c>
      <c r="K36" s="2">
        <v>271.0</v>
      </c>
      <c r="L36" s="2" t="s">
        <v>61</v>
      </c>
      <c r="M36" s="2" t="s">
        <v>38</v>
      </c>
    </row>
    <row r="37" ht="14.25" customHeight="1">
      <c r="A37" s="2" t="s">
        <v>119</v>
      </c>
      <c r="B37" s="2" t="s">
        <v>31</v>
      </c>
      <c r="C37" s="2" t="s">
        <v>120</v>
      </c>
      <c r="D37" s="2" t="s">
        <v>33</v>
      </c>
      <c r="E37" s="2" t="s">
        <v>34</v>
      </c>
      <c r="F37" s="2">
        <v>4518.0</v>
      </c>
      <c r="G37" s="2">
        <v>285.0</v>
      </c>
      <c r="H37" s="2">
        <v>383.0</v>
      </c>
      <c r="I37" s="2">
        <v>67770.0</v>
      </c>
      <c r="J37" s="2">
        <v>67621.0</v>
      </c>
      <c r="K37" s="2">
        <v>31.0</v>
      </c>
      <c r="L37" s="2" t="s">
        <v>77</v>
      </c>
      <c r="M37" s="2" t="s">
        <v>25</v>
      </c>
    </row>
    <row r="38" ht="14.25" customHeight="1">
      <c r="A38" s="2" t="s">
        <v>121</v>
      </c>
      <c r="B38" s="2" t="s">
        <v>40</v>
      </c>
      <c r="C38" s="2" t="s">
        <v>122</v>
      </c>
      <c r="D38" s="2" t="s">
        <v>42</v>
      </c>
      <c r="E38" s="2" t="s">
        <v>43</v>
      </c>
      <c r="F38" s="2">
        <v>3024.0</v>
      </c>
      <c r="G38" s="2">
        <v>925.0</v>
      </c>
      <c r="H38" s="2">
        <v>350.0</v>
      </c>
      <c r="I38" s="2">
        <v>24192.0</v>
      </c>
      <c r="J38" s="2">
        <v>23518.0</v>
      </c>
      <c r="K38" s="2">
        <v>36.0</v>
      </c>
      <c r="L38" s="2" t="s">
        <v>18</v>
      </c>
      <c r="M38" s="2" t="s">
        <v>38</v>
      </c>
    </row>
    <row r="39" ht="14.25" customHeight="1">
      <c r="A39" s="2" t="s">
        <v>123</v>
      </c>
      <c r="B39" s="2" t="s">
        <v>27</v>
      </c>
      <c r="C39" s="2" t="s">
        <v>124</v>
      </c>
      <c r="D39" s="2" t="s">
        <v>16</v>
      </c>
      <c r="E39" s="2" t="s">
        <v>17</v>
      </c>
      <c r="F39" s="2">
        <v>3138.0</v>
      </c>
      <c r="G39" s="2">
        <v>123.0</v>
      </c>
      <c r="H39" s="2">
        <v>291.0</v>
      </c>
      <c r="I39" s="2">
        <v>28242.0</v>
      </c>
      <c r="J39" s="2">
        <v>27550.0</v>
      </c>
      <c r="K39" s="2">
        <v>87.0</v>
      </c>
      <c r="L39" s="2" t="s">
        <v>77</v>
      </c>
      <c r="M39" s="2" t="s">
        <v>55</v>
      </c>
    </row>
    <row r="40" ht="14.25" customHeight="1">
      <c r="A40" s="2" t="s">
        <v>125</v>
      </c>
      <c r="B40" s="2" t="s">
        <v>40</v>
      </c>
      <c r="C40" s="2" t="s">
        <v>126</v>
      </c>
      <c r="D40" s="2" t="s">
        <v>49</v>
      </c>
      <c r="E40" s="2" t="s">
        <v>50</v>
      </c>
      <c r="F40" s="2">
        <v>3564.0</v>
      </c>
      <c r="G40" s="2">
        <v>629.0</v>
      </c>
      <c r="H40" s="2">
        <v>177.0</v>
      </c>
      <c r="I40" s="2">
        <v>60588.0</v>
      </c>
      <c r="J40" s="2">
        <v>59627.0</v>
      </c>
      <c r="K40" s="2">
        <v>92.0</v>
      </c>
      <c r="L40" s="2" t="s">
        <v>127</v>
      </c>
      <c r="M40" s="2" t="s">
        <v>38</v>
      </c>
    </row>
    <row r="41" ht="14.25" customHeight="1">
      <c r="A41" s="2" t="s">
        <v>128</v>
      </c>
      <c r="B41" s="2" t="s">
        <v>14</v>
      </c>
      <c r="C41" s="2" t="s">
        <v>129</v>
      </c>
      <c r="D41" s="2" t="s">
        <v>49</v>
      </c>
      <c r="E41" s="2" t="s">
        <v>50</v>
      </c>
      <c r="F41" s="2">
        <v>4750.0</v>
      </c>
      <c r="G41" s="2">
        <v>151.0</v>
      </c>
      <c r="H41" s="2">
        <v>415.0</v>
      </c>
      <c r="I41" s="2">
        <v>38000.0</v>
      </c>
      <c r="J41" s="2">
        <v>37792.0</v>
      </c>
      <c r="K41" s="2">
        <v>299.0</v>
      </c>
      <c r="L41" s="2" t="s">
        <v>61</v>
      </c>
      <c r="M41" s="2" t="s">
        <v>25</v>
      </c>
    </row>
    <row r="42" ht="14.25" customHeight="1">
      <c r="A42" s="2" t="s">
        <v>130</v>
      </c>
      <c r="B42" s="2" t="s">
        <v>31</v>
      </c>
      <c r="C42" s="2" t="s">
        <v>131</v>
      </c>
      <c r="D42" s="2" t="s">
        <v>16</v>
      </c>
      <c r="E42" s="2" t="s">
        <v>17</v>
      </c>
      <c r="F42" s="2">
        <v>456.0</v>
      </c>
      <c r="G42" s="2">
        <v>629.0</v>
      </c>
      <c r="H42" s="2">
        <v>428.0</v>
      </c>
      <c r="I42" s="2">
        <v>8208.0</v>
      </c>
      <c r="J42" s="2">
        <v>7377.0</v>
      </c>
      <c r="K42" s="2">
        <v>205.0</v>
      </c>
      <c r="L42" s="2" t="s">
        <v>74</v>
      </c>
      <c r="M42" s="2" t="s">
        <v>38</v>
      </c>
    </row>
    <row r="43" ht="14.25" customHeight="1">
      <c r="A43" s="2" t="s">
        <v>132</v>
      </c>
      <c r="B43" s="2" t="s">
        <v>27</v>
      </c>
      <c r="C43" s="2" t="s">
        <v>133</v>
      </c>
      <c r="D43" s="2" t="s">
        <v>16</v>
      </c>
      <c r="E43" s="2" t="s">
        <v>17</v>
      </c>
      <c r="F43" s="2">
        <v>1543.0</v>
      </c>
      <c r="G43" s="2">
        <v>820.0</v>
      </c>
      <c r="H43" s="2">
        <v>333.0</v>
      </c>
      <c r="I43" s="2">
        <v>12344.0</v>
      </c>
      <c r="J43" s="2">
        <v>11496.0</v>
      </c>
      <c r="K43" s="2">
        <v>241.0</v>
      </c>
      <c r="L43" s="2" t="s">
        <v>58</v>
      </c>
      <c r="M43" s="2" t="s">
        <v>38</v>
      </c>
    </row>
    <row r="44" ht="14.25" customHeight="1">
      <c r="A44" s="2" t="s">
        <v>134</v>
      </c>
      <c r="B44" s="2" t="s">
        <v>31</v>
      </c>
      <c r="C44" s="2" t="s">
        <v>135</v>
      </c>
      <c r="D44" s="2" t="s">
        <v>42</v>
      </c>
      <c r="E44" s="2" t="s">
        <v>43</v>
      </c>
      <c r="F44" s="2">
        <v>2174.0</v>
      </c>
      <c r="G44" s="2">
        <v>658.0</v>
      </c>
      <c r="H44" s="2">
        <v>15.0</v>
      </c>
      <c r="I44" s="2">
        <v>13044.0</v>
      </c>
      <c r="J44" s="2">
        <v>12206.0</v>
      </c>
      <c r="K44" s="2">
        <v>137.0</v>
      </c>
      <c r="L44" s="2" t="s">
        <v>66</v>
      </c>
      <c r="M44" s="2" t="s">
        <v>55</v>
      </c>
    </row>
    <row r="45" ht="14.25" customHeight="1">
      <c r="A45" s="2" t="s">
        <v>136</v>
      </c>
      <c r="B45" s="2" t="s">
        <v>14</v>
      </c>
      <c r="C45" s="2" t="s">
        <v>137</v>
      </c>
      <c r="D45" s="2" t="s">
        <v>49</v>
      </c>
      <c r="E45" s="2" t="s">
        <v>50</v>
      </c>
      <c r="F45" s="2">
        <v>2358.0</v>
      </c>
      <c r="G45" s="2">
        <v>784.0</v>
      </c>
      <c r="H45" s="2">
        <v>344.0</v>
      </c>
      <c r="I45" s="2">
        <v>35370.0</v>
      </c>
      <c r="J45" s="2">
        <v>34475.0</v>
      </c>
      <c r="K45" s="2">
        <v>216.0</v>
      </c>
      <c r="L45" s="2" t="s">
        <v>82</v>
      </c>
      <c r="M45" s="2" t="s">
        <v>19</v>
      </c>
    </row>
    <row r="46" ht="14.25" customHeight="1">
      <c r="A46" s="2" t="s">
        <v>138</v>
      </c>
      <c r="B46" s="2" t="s">
        <v>40</v>
      </c>
      <c r="C46" s="2" t="s">
        <v>139</v>
      </c>
      <c r="D46" s="2" t="s">
        <v>69</v>
      </c>
      <c r="E46" s="2" t="s">
        <v>70</v>
      </c>
      <c r="F46" s="2">
        <v>3371.0</v>
      </c>
      <c r="G46" s="2">
        <v>106.0</v>
      </c>
      <c r="H46" s="2">
        <v>327.0</v>
      </c>
      <c r="I46" s="2">
        <v>50565.0</v>
      </c>
      <c r="J46" s="2">
        <v>49816.0</v>
      </c>
      <c r="K46" s="2">
        <v>176.0</v>
      </c>
      <c r="L46" s="2" t="s">
        <v>77</v>
      </c>
      <c r="M46" s="2" t="s">
        <v>55</v>
      </c>
    </row>
    <row r="47" ht="14.25" customHeight="1">
      <c r="A47" s="2" t="s">
        <v>140</v>
      </c>
      <c r="B47" s="2" t="s">
        <v>14</v>
      </c>
      <c r="C47" s="2" t="s">
        <v>141</v>
      </c>
      <c r="D47" s="2" t="s">
        <v>69</v>
      </c>
      <c r="E47" s="2" t="s">
        <v>70</v>
      </c>
      <c r="F47" s="2">
        <v>1108.0</v>
      </c>
      <c r="G47" s="2">
        <v>177.0</v>
      </c>
      <c r="H47" s="2">
        <v>212.0</v>
      </c>
      <c r="I47" s="2">
        <v>8864.0</v>
      </c>
      <c r="J47" s="2">
        <v>8710.0</v>
      </c>
      <c r="K47" s="2">
        <v>97.0</v>
      </c>
      <c r="L47" s="2" t="s">
        <v>24</v>
      </c>
      <c r="M47" s="2" t="s">
        <v>55</v>
      </c>
    </row>
    <row r="48" ht="14.25" customHeight="1">
      <c r="A48" s="2" t="s">
        <v>142</v>
      </c>
      <c r="B48" s="2" t="s">
        <v>14</v>
      </c>
      <c r="C48" s="2" t="s">
        <v>143</v>
      </c>
      <c r="D48" s="2" t="s">
        <v>42</v>
      </c>
      <c r="E48" s="2" t="s">
        <v>43</v>
      </c>
      <c r="F48" s="2">
        <v>2704.0</v>
      </c>
      <c r="G48" s="2">
        <v>752.0</v>
      </c>
      <c r="H48" s="2">
        <v>153.0</v>
      </c>
      <c r="I48" s="2">
        <v>21632.0</v>
      </c>
      <c r="J48" s="2">
        <v>20792.0</v>
      </c>
      <c r="K48" s="2">
        <v>127.0</v>
      </c>
      <c r="L48" s="2" t="s">
        <v>144</v>
      </c>
      <c r="M48" s="2" t="s">
        <v>19</v>
      </c>
    </row>
    <row r="49" ht="14.25" customHeight="1">
      <c r="A49" s="2" t="s">
        <v>145</v>
      </c>
      <c r="B49" s="2" t="s">
        <v>14</v>
      </c>
      <c r="C49" s="2" t="s">
        <v>54</v>
      </c>
      <c r="D49" s="2" t="s">
        <v>33</v>
      </c>
      <c r="E49" s="2" t="s">
        <v>34</v>
      </c>
      <c r="F49" s="2">
        <v>1950.0</v>
      </c>
      <c r="G49" s="2">
        <v>295.0</v>
      </c>
      <c r="H49" s="2">
        <v>478.0</v>
      </c>
      <c r="I49" s="2">
        <v>37050.0</v>
      </c>
      <c r="J49" s="2">
        <v>36272.0</v>
      </c>
      <c r="K49" s="2">
        <v>119.0</v>
      </c>
      <c r="L49" s="2" t="s">
        <v>146</v>
      </c>
      <c r="M49" s="2" t="s">
        <v>55</v>
      </c>
    </row>
    <row r="50" ht="14.25" customHeight="1">
      <c r="A50" s="2" t="s">
        <v>147</v>
      </c>
      <c r="B50" s="2" t="s">
        <v>14</v>
      </c>
      <c r="C50" s="2" t="s">
        <v>148</v>
      </c>
      <c r="D50" s="2" t="s">
        <v>33</v>
      </c>
      <c r="E50" s="2" t="s">
        <v>34</v>
      </c>
      <c r="F50" s="2">
        <v>2164.0</v>
      </c>
      <c r="G50" s="2">
        <v>549.0</v>
      </c>
      <c r="H50" s="2">
        <v>274.0</v>
      </c>
      <c r="I50" s="2">
        <v>28132.0</v>
      </c>
      <c r="J50" s="2">
        <v>27361.0</v>
      </c>
      <c r="K50" s="2">
        <v>177.0</v>
      </c>
      <c r="L50" s="2" t="s">
        <v>58</v>
      </c>
      <c r="M50" s="2" t="s">
        <v>19</v>
      </c>
    </row>
    <row r="51" ht="14.25" customHeight="1">
      <c r="A51" s="2" t="s">
        <v>149</v>
      </c>
      <c r="B51" s="2" t="s">
        <v>27</v>
      </c>
      <c r="C51" s="2" t="s">
        <v>150</v>
      </c>
      <c r="D51" s="2" t="s">
        <v>33</v>
      </c>
      <c r="E51" s="2" t="s">
        <v>34</v>
      </c>
      <c r="F51" s="2">
        <v>2754.0</v>
      </c>
      <c r="G51" s="2">
        <v>130.0</v>
      </c>
      <c r="H51" s="2">
        <v>90.0</v>
      </c>
      <c r="I51" s="2">
        <v>22032.0</v>
      </c>
      <c r="J51" s="2">
        <v>21288.0</v>
      </c>
      <c r="K51" s="2">
        <v>112.0</v>
      </c>
      <c r="L51" s="2" t="s">
        <v>24</v>
      </c>
      <c r="M51" s="2" t="s">
        <v>19</v>
      </c>
    </row>
    <row r="52" ht="14.25" customHeight="1">
      <c r="A52" s="2" t="s">
        <v>151</v>
      </c>
      <c r="B52" s="2" t="s">
        <v>40</v>
      </c>
      <c r="C52" s="2" t="s">
        <v>152</v>
      </c>
      <c r="D52" s="2" t="s">
        <v>42</v>
      </c>
      <c r="E52" s="2" t="s">
        <v>43</v>
      </c>
      <c r="F52" s="2">
        <v>2200.0</v>
      </c>
      <c r="G52" s="2">
        <v>504.0</v>
      </c>
      <c r="H52" s="2">
        <v>239.0</v>
      </c>
      <c r="I52" s="2">
        <v>37400.0</v>
      </c>
      <c r="J52" s="2">
        <v>36938.0</v>
      </c>
      <c r="K52" s="2">
        <v>225.0</v>
      </c>
      <c r="L52" s="2" t="s">
        <v>18</v>
      </c>
      <c r="M52" s="2" t="s">
        <v>38</v>
      </c>
    </row>
    <row r="53" ht="14.25" customHeight="1">
      <c r="A53" s="2" t="s">
        <v>153</v>
      </c>
      <c r="B53" s="2" t="s">
        <v>40</v>
      </c>
      <c r="C53" s="2" t="s">
        <v>154</v>
      </c>
      <c r="D53" s="2" t="s">
        <v>49</v>
      </c>
      <c r="E53" s="2" t="s">
        <v>50</v>
      </c>
      <c r="F53" s="2">
        <v>947.0</v>
      </c>
      <c r="G53" s="2">
        <v>338.0</v>
      </c>
      <c r="H53" s="2">
        <v>350.0</v>
      </c>
      <c r="I53" s="2">
        <v>10417.0</v>
      </c>
      <c r="J53" s="2">
        <v>9730.0</v>
      </c>
      <c r="K53" s="2">
        <v>34.0</v>
      </c>
      <c r="L53" s="2" t="s">
        <v>29</v>
      </c>
      <c r="M53" s="2" t="s">
        <v>38</v>
      </c>
    </row>
    <row r="54" ht="14.25" customHeight="1">
      <c r="A54" s="2" t="s">
        <v>155</v>
      </c>
      <c r="B54" s="2" t="s">
        <v>27</v>
      </c>
      <c r="C54" s="2" t="s">
        <v>143</v>
      </c>
      <c r="D54" s="2" t="s">
        <v>42</v>
      </c>
      <c r="E54" s="2" t="s">
        <v>43</v>
      </c>
      <c r="F54" s="2">
        <v>804.0</v>
      </c>
      <c r="G54" s="2">
        <v>639.0</v>
      </c>
      <c r="H54" s="2">
        <v>43.0</v>
      </c>
      <c r="I54" s="2">
        <v>4020.0</v>
      </c>
      <c r="J54" s="2">
        <v>3144.0</v>
      </c>
      <c r="K54" s="2">
        <v>11.0</v>
      </c>
      <c r="L54" s="2" t="s">
        <v>87</v>
      </c>
      <c r="M54" s="2" t="s">
        <v>55</v>
      </c>
    </row>
    <row r="55" ht="14.25" customHeight="1">
      <c r="A55" s="2" t="s">
        <v>156</v>
      </c>
      <c r="B55" s="2" t="s">
        <v>27</v>
      </c>
      <c r="C55" s="2" t="s">
        <v>157</v>
      </c>
      <c r="D55" s="2" t="s">
        <v>42</v>
      </c>
      <c r="E55" s="2" t="s">
        <v>43</v>
      </c>
      <c r="F55" s="2">
        <v>1686.0</v>
      </c>
      <c r="G55" s="2">
        <v>904.0</v>
      </c>
      <c r="H55" s="2">
        <v>472.0</v>
      </c>
      <c r="I55" s="2">
        <v>18546.0</v>
      </c>
      <c r="J55" s="2">
        <v>18171.0</v>
      </c>
      <c r="K55" s="2">
        <v>52.0</v>
      </c>
      <c r="L55" s="2" t="s">
        <v>71</v>
      </c>
      <c r="M55" s="2" t="s">
        <v>25</v>
      </c>
    </row>
    <row r="56" ht="14.25" customHeight="1">
      <c r="A56" s="2" t="s">
        <v>158</v>
      </c>
      <c r="B56" s="2" t="s">
        <v>40</v>
      </c>
      <c r="C56" s="2" t="s">
        <v>159</v>
      </c>
      <c r="D56" s="2" t="s">
        <v>49</v>
      </c>
      <c r="E56" s="2" t="s">
        <v>50</v>
      </c>
      <c r="F56" s="2">
        <v>1226.0</v>
      </c>
      <c r="G56" s="2">
        <v>119.0</v>
      </c>
      <c r="H56" s="2">
        <v>7.0</v>
      </c>
      <c r="I56" s="2">
        <v>14712.0</v>
      </c>
      <c r="J56" s="2">
        <v>14049.0</v>
      </c>
      <c r="K56" s="2">
        <v>123.0</v>
      </c>
      <c r="L56" s="2" t="s">
        <v>102</v>
      </c>
      <c r="M56" s="2" t="s">
        <v>55</v>
      </c>
    </row>
    <row r="57" ht="14.25" customHeight="1">
      <c r="A57" s="2" t="s">
        <v>160</v>
      </c>
      <c r="B57" s="2" t="s">
        <v>40</v>
      </c>
      <c r="C57" s="2" t="s">
        <v>161</v>
      </c>
      <c r="D57" s="2" t="s">
        <v>42</v>
      </c>
      <c r="E57" s="2" t="s">
        <v>43</v>
      </c>
      <c r="F57" s="2">
        <v>2946.0</v>
      </c>
      <c r="G57" s="2">
        <v>498.0</v>
      </c>
      <c r="H57" s="2">
        <v>367.0</v>
      </c>
      <c r="I57" s="2">
        <v>29460.0</v>
      </c>
      <c r="J57" s="2">
        <v>28527.0</v>
      </c>
      <c r="K57" s="2">
        <v>60.0</v>
      </c>
      <c r="L57" s="2" t="s">
        <v>162</v>
      </c>
      <c r="M57" s="2" t="s">
        <v>25</v>
      </c>
    </row>
    <row r="58" ht="14.25" customHeight="1">
      <c r="A58" s="2" t="s">
        <v>163</v>
      </c>
      <c r="B58" s="2" t="s">
        <v>14</v>
      </c>
      <c r="C58" s="2" t="s">
        <v>164</v>
      </c>
      <c r="D58" s="2" t="s">
        <v>69</v>
      </c>
      <c r="E58" s="2" t="s">
        <v>70</v>
      </c>
      <c r="F58" s="2">
        <v>2825.0</v>
      </c>
      <c r="G58" s="2">
        <v>535.0</v>
      </c>
      <c r="H58" s="2">
        <v>295.0</v>
      </c>
      <c r="I58" s="2">
        <v>45200.0</v>
      </c>
      <c r="J58" s="2">
        <v>44739.0</v>
      </c>
      <c r="K58" s="2">
        <v>169.0</v>
      </c>
      <c r="L58" s="2" t="s">
        <v>58</v>
      </c>
      <c r="M58" s="2" t="s">
        <v>25</v>
      </c>
    </row>
    <row r="59" ht="14.25" customHeight="1">
      <c r="A59" s="2" t="s">
        <v>165</v>
      </c>
      <c r="B59" s="2" t="s">
        <v>31</v>
      </c>
      <c r="C59" s="2" t="s">
        <v>166</v>
      </c>
      <c r="D59" s="2" t="s">
        <v>16</v>
      </c>
      <c r="E59" s="2" t="s">
        <v>17</v>
      </c>
      <c r="F59" s="2">
        <v>103.0</v>
      </c>
      <c r="G59" s="2">
        <v>770.0</v>
      </c>
      <c r="H59" s="2">
        <v>19.0</v>
      </c>
      <c r="I59" s="2">
        <v>1030.0</v>
      </c>
      <c r="J59" s="2">
        <v>410.0</v>
      </c>
      <c r="K59" s="2">
        <v>262.0</v>
      </c>
      <c r="L59" s="2" t="s">
        <v>18</v>
      </c>
      <c r="M59" s="2" t="s">
        <v>38</v>
      </c>
    </row>
    <row r="60" ht="14.25" customHeight="1">
      <c r="A60" s="2" t="s">
        <v>167</v>
      </c>
      <c r="B60" s="2" t="s">
        <v>31</v>
      </c>
      <c r="C60" s="2" t="s">
        <v>168</v>
      </c>
      <c r="D60" s="2" t="s">
        <v>22</v>
      </c>
      <c r="E60" s="2" t="s">
        <v>23</v>
      </c>
      <c r="F60" s="2">
        <v>2180.0</v>
      </c>
      <c r="G60" s="2">
        <v>263.0</v>
      </c>
      <c r="H60" s="2">
        <v>387.0</v>
      </c>
      <c r="I60" s="2">
        <v>30520.0</v>
      </c>
      <c r="J60" s="2">
        <v>30059.0</v>
      </c>
      <c r="K60" s="2">
        <v>174.0</v>
      </c>
      <c r="L60" s="2" t="s">
        <v>77</v>
      </c>
      <c r="M60" s="2" t="s">
        <v>19</v>
      </c>
    </row>
    <row r="61" ht="14.25" customHeight="1">
      <c r="A61" s="2" t="s">
        <v>169</v>
      </c>
      <c r="B61" s="2" t="s">
        <v>31</v>
      </c>
      <c r="C61" s="2" t="s">
        <v>170</v>
      </c>
      <c r="D61" s="2" t="s">
        <v>69</v>
      </c>
      <c r="E61" s="2" t="s">
        <v>70</v>
      </c>
      <c r="F61" s="2">
        <v>904.0</v>
      </c>
      <c r="G61" s="2">
        <v>973.0</v>
      </c>
      <c r="H61" s="2">
        <v>63.0</v>
      </c>
      <c r="I61" s="2">
        <v>11752.0</v>
      </c>
      <c r="J61" s="2">
        <v>11580.0</v>
      </c>
      <c r="K61" s="2">
        <v>84.0</v>
      </c>
      <c r="L61" s="2" t="s">
        <v>58</v>
      </c>
      <c r="M61" s="2" t="s">
        <v>19</v>
      </c>
    </row>
    <row r="62" ht="14.25" customHeight="1">
      <c r="A62" s="2" t="s">
        <v>171</v>
      </c>
      <c r="B62" s="2" t="s">
        <v>14</v>
      </c>
      <c r="C62" s="2" t="s">
        <v>172</v>
      </c>
      <c r="D62" s="2" t="s">
        <v>69</v>
      </c>
      <c r="E62" s="2" t="s">
        <v>70</v>
      </c>
      <c r="F62" s="2">
        <v>4886.0</v>
      </c>
      <c r="G62" s="2">
        <v>983.0</v>
      </c>
      <c r="H62" s="2">
        <v>409.0</v>
      </c>
      <c r="I62" s="2">
        <v>43974.0</v>
      </c>
      <c r="J62" s="2">
        <v>43239.0</v>
      </c>
      <c r="K62" s="2">
        <v>65.0</v>
      </c>
      <c r="L62" s="2" t="s">
        <v>24</v>
      </c>
      <c r="M62" s="2" t="s">
        <v>19</v>
      </c>
    </row>
    <row r="63" ht="14.25" customHeight="1">
      <c r="A63" s="2" t="s">
        <v>173</v>
      </c>
      <c r="B63" s="2" t="s">
        <v>14</v>
      </c>
      <c r="C63" s="2" t="s">
        <v>174</v>
      </c>
      <c r="D63" s="2" t="s">
        <v>42</v>
      </c>
      <c r="E63" s="2" t="s">
        <v>43</v>
      </c>
      <c r="F63" s="2">
        <v>53.0</v>
      </c>
      <c r="G63" s="2">
        <v>81.0</v>
      </c>
      <c r="H63" s="2">
        <v>379.0</v>
      </c>
      <c r="I63" s="2">
        <v>954.0</v>
      </c>
      <c r="J63" s="2">
        <v>7.0</v>
      </c>
      <c r="K63" s="2">
        <v>148.0</v>
      </c>
      <c r="L63" s="2" t="s">
        <v>77</v>
      </c>
      <c r="M63" s="2" t="s">
        <v>38</v>
      </c>
    </row>
    <row r="64" ht="14.25" customHeight="1">
      <c r="A64" s="2" t="s">
        <v>175</v>
      </c>
      <c r="B64" s="2" t="s">
        <v>14</v>
      </c>
      <c r="C64" s="2" t="s">
        <v>111</v>
      </c>
      <c r="D64" s="2" t="s">
        <v>42</v>
      </c>
      <c r="E64" s="2" t="s">
        <v>43</v>
      </c>
      <c r="F64" s="2">
        <v>4507.0</v>
      </c>
      <c r="G64" s="2">
        <v>217.0</v>
      </c>
      <c r="H64" s="2">
        <v>13.0</v>
      </c>
      <c r="I64" s="2">
        <v>90140.0</v>
      </c>
      <c r="J64" s="2">
        <v>89591.0</v>
      </c>
      <c r="K64" s="2">
        <v>125.0</v>
      </c>
      <c r="L64" s="2" t="s">
        <v>18</v>
      </c>
      <c r="M64" s="2" t="s">
        <v>19</v>
      </c>
    </row>
    <row r="65" ht="14.25" customHeight="1">
      <c r="A65" s="2" t="s">
        <v>176</v>
      </c>
      <c r="B65" s="2" t="s">
        <v>40</v>
      </c>
      <c r="C65" s="2" t="s">
        <v>177</v>
      </c>
      <c r="D65" s="2" t="s">
        <v>49</v>
      </c>
      <c r="E65" s="2" t="s">
        <v>50</v>
      </c>
      <c r="F65" s="2">
        <v>2878.0</v>
      </c>
      <c r="G65" s="2">
        <v>248.0</v>
      </c>
      <c r="H65" s="2">
        <v>416.0</v>
      </c>
      <c r="I65" s="2">
        <v>43170.0</v>
      </c>
      <c r="J65" s="2">
        <v>42667.0</v>
      </c>
      <c r="K65" s="2">
        <v>75.0</v>
      </c>
      <c r="L65" s="2" t="s">
        <v>178</v>
      </c>
      <c r="M65" s="2" t="s">
        <v>25</v>
      </c>
    </row>
    <row r="66" ht="14.25" customHeight="1">
      <c r="A66" s="2" t="s">
        <v>179</v>
      </c>
      <c r="B66" s="2" t="s">
        <v>31</v>
      </c>
      <c r="C66" s="2" t="s">
        <v>180</v>
      </c>
      <c r="D66" s="2" t="s">
        <v>33</v>
      </c>
      <c r="E66" s="2" t="s">
        <v>34</v>
      </c>
      <c r="F66" s="2">
        <v>1881.0</v>
      </c>
      <c r="G66" s="2">
        <v>501.0</v>
      </c>
      <c r="H66" s="2">
        <v>99.0</v>
      </c>
      <c r="I66" s="2">
        <v>20691.0</v>
      </c>
      <c r="J66" s="2">
        <v>19987.0</v>
      </c>
      <c r="K66" s="2">
        <v>289.0</v>
      </c>
      <c r="L66" s="2" t="s">
        <v>77</v>
      </c>
      <c r="M66" s="2" t="s">
        <v>25</v>
      </c>
    </row>
    <row r="67" ht="14.25" customHeight="1">
      <c r="A67" s="2" t="s">
        <v>181</v>
      </c>
      <c r="B67" s="2" t="s">
        <v>14</v>
      </c>
      <c r="C67" s="2" t="s">
        <v>182</v>
      </c>
      <c r="D67" s="2" t="s">
        <v>42</v>
      </c>
      <c r="E67" s="2" t="s">
        <v>43</v>
      </c>
      <c r="F67" s="2">
        <v>432.0</v>
      </c>
      <c r="G67" s="2">
        <v>171.0</v>
      </c>
      <c r="H67" s="2">
        <v>280.0</v>
      </c>
      <c r="I67" s="2">
        <v>3024.0</v>
      </c>
      <c r="J67" s="2">
        <v>2285.0</v>
      </c>
      <c r="K67" s="2">
        <v>184.0</v>
      </c>
      <c r="L67" s="2" t="s">
        <v>24</v>
      </c>
      <c r="M67" s="2" t="s">
        <v>38</v>
      </c>
    </row>
    <row r="68" ht="14.25" customHeight="1">
      <c r="A68" s="2" t="s">
        <v>183</v>
      </c>
      <c r="B68" s="2" t="s">
        <v>40</v>
      </c>
      <c r="C68" s="2" t="s">
        <v>184</v>
      </c>
      <c r="D68" s="2" t="s">
        <v>42</v>
      </c>
      <c r="E68" s="2" t="s">
        <v>43</v>
      </c>
      <c r="F68" s="2">
        <v>4712.0</v>
      </c>
      <c r="G68" s="2">
        <v>568.0</v>
      </c>
      <c r="H68" s="2">
        <v>127.0</v>
      </c>
      <c r="I68" s="2">
        <v>84816.0</v>
      </c>
      <c r="J68" s="2">
        <v>84691.0</v>
      </c>
      <c r="K68" s="2">
        <v>100.0</v>
      </c>
      <c r="L68" s="2" t="s">
        <v>77</v>
      </c>
      <c r="M68" s="2" t="s">
        <v>19</v>
      </c>
    </row>
    <row r="69" ht="14.25" customHeight="1">
      <c r="A69" s="2" t="s">
        <v>185</v>
      </c>
      <c r="B69" s="2" t="s">
        <v>31</v>
      </c>
      <c r="C69" s="2" t="s">
        <v>186</v>
      </c>
      <c r="D69" s="2" t="s">
        <v>33</v>
      </c>
      <c r="E69" s="2" t="s">
        <v>34</v>
      </c>
      <c r="F69" s="2">
        <v>2610.0</v>
      </c>
      <c r="G69" s="2">
        <v>126.0</v>
      </c>
      <c r="H69" s="2">
        <v>288.0</v>
      </c>
      <c r="I69" s="2">
        <v>15660.0</v>
      </c>
      <c r="J69" s="2">
        <v>15145.0</v>
      </c>
      <c r="K69" s="2">
        <v>73.0</v>
      </c>
      <c r="L69" s="2" t="s">
        <v>24</v>
      </c>
      <c r="M69" s="2" t="s">
        <v>19</v>
      </c>
    </row>
    <row r="70" ht="14.25" customHeight="1">
      <c r="A70" s="2" t="s">
        <v>187</v>
      </c>
      <c r="B70" s="2" t="s">
        <v>14</v>
      </c>
      <c r="C70" s="2" t="s">
        <v>131</v>
      </c>
      <c r="D70" s="2" t="s">
        <v>22</v>
      </c>
      <c r="E70" s="2" t="s">
        <v>23</v>
      </c>
      <c r="F70" s="2">
        <v>1292.0</v>
      </c>
      <c r="G70" s="2">
        <v>626.0</v>
      </c>
      <c r="H70" s="2">
        <v>496.0</v>
      </c>
      <c r="I70" s="2">
        <v>25840.0</v>
      </c>
      <c r="J70" s="2">
        <v>24916.0</v>
      </c>
      <c r="K70" s="2">
        <v>149.0</v>
      </c>
      <c r="L70" s="2" t="s">
        <v>87</v>
      </c>
      <c r="M70" s="2" t="s">
        <v>55</v>
      </c>
    </row>
    <row r="71" ht="14.25" customHeight="1">
      <c r="A71" s="2" t="s">
        <v>188</v>
      </c>
      <c r="B71" s="2" t="s">
        <v>40</v>
      </c>
      <c r="C71" s="2" t="s">
        <v>189</v>
      </c>
      <c r="D71" s="2" t="s">
        <v>69</v>
      </c>
      <c r="E71" s="2" t="s">
        <v>70</v>
      </c>
      <c r="F71" s="2">
        <v>199.0</v>
      </c>
      <c r="G71" s="2">
        <v>772.0</v>
      </c>
      <c r="H71" s="2">
        <v>400.0</v>
      </c>
      <c r="I71" s="2">
        <v>3582.0</v>
      </c>
      <c r="J71" s="2">
        <v>2988.0</v>
      </c>
      <c r="K71" s="2">
        <v>43.0</v>
      </c>
      <c r="L71" s="2" t="s">
        <v>44</v>
      </c>
      <c r="M71" s="2" t="s">
        <v>19</v>
      </c>
    </row>
    <row r="72" ht="14.25" customHeight="1">
      <c r="A72" s="2" t="s">
        <v>190</v>
      </c>
      <c r="B72" s="2" t="s">
        <v>27</v>
      </c>
      <c r="C72" s="2" t="s">
        <v>191</v>
      </c>
      <c r="D72" s="2" t="s">
        <v>42</v>
      </c>
      <c r="E72" s="2" t="s">
        <v>43</v>
      </c>
      <c r="F72" s="2">
        <v>2551.0</v>
      </c>
      <c r="G72" s="2">
        <v>915.0</v>
      </c>
      <c r="H72" s="2">
        <v>205.0</v>
      </c>
      <c r="I72" s="2">
        <v>30612.0</v>
      </c>
      <c r="J72" s="2">
        <v>30360.0</v>
      </c>
      <c r="K72" s="2">
        <v>227.0</v>
      </c>
      <c r="L72" s="2" t="s">
        <v>74</v>
      </c>
      <c r="M72" s="2" t="s">
        <v>25</v>
      </c>
    </row>
    <row r="73" ht="14.25" customHeight="1">
      <c r="A73" s="2" t="s">
        <v>192</v>
      </c>
      <c r="B73" s="2" t="s">
        <v>27</v>
      </c>
      <c r="C73" s="2" t="s">
        <v>193</v>
      </c>
      <c r="D73" s="2" t="s">
        <v>16</v>
      </c>
      <c r="E73" s="2" t="s">
        <v>17</v>
      </c>
      <c r="F73" s="2">
        <v>296.0</v>
      </c>
      <c r="G73" s="2">
        <v>60.0</v>
      </c>
      <c r="H73" s="2">
        <v>141.0</v>
      </c>
      <c r="I73" s="2">
        <v>5624.0</v>
      </c>
      <c r="J73" s="2">
        <v>5239.0</v>
      </c>
      <c r="K73" s="2">
        <v>88.0</v>
      </c>
      <c r="L73" s="2" t="s">
        <v>44</v>
      </c>
      <c r="M73" s="2" t="s">
        <v>55</v>
      </c>
    </row>
    <row r="74" ht="14.25" customHeight="1">
      <c r="A74" s="2" t="s">
        <v>194</v>
      </c>
      <c r="B74" s="2" t="s">
        <v>40</v>
      </c>
      <c r="C74" s="2" t="s">
        <v>195</v>
      </c>
      <c r="D74" s="2" t="s">
        <v>33</v>
      </c>
      <c r="E74" s="2" t="s">
        <v>34</v>
      </c>
      <c r="F74" s="2">
        <v>4126.0</v>
      </c>
      <c r="G74" s="2">
        <v>426.0</v>
      </c>
      <c r="H74" s="2">
        <v>486.0</v>
      </c>
      <c r="I74" s="2">
        <v>78394.0</v>
      </c>
      <c r="J74" s="2">
        <v>77798.0</v>
      </c>
      <c r="K74" s="2">
        <v>88.0</v>
      </c>
      <c r="L74" s="2" t="s">
        <v>24</v>
      </c>
      <c r="M74" s="2" t="s">
        <v>19</v>
      </c>
    </row>
    <row r="75" ht="14.25" customHeight="1">
      <c r="A75" s="2" t="s">
        <v>196</v>
      </c>
      <c r="B75" s="2" t="s">
        <v>27</v>
      </c>
      <c r="C75" s="2" t="s">
        <v>197</v>
      </c>
      <c r="D75" s="2" t="s">
        <v>16</v>
      </c>
      <c r="E75" s="2" t="s">
        <v>17</v>
      </c>
      <c r="F75" s="2">
        <v>1855.0</v>
      </c>
      <c r="G75" s="2">
        <v>200.0</v>
      </c>
      <c r="H75" s="2">
        <v>174.0</v>
      </c>
      <c r="I75" s="2">
        <v>16695.0</v>
      </c>
      <c r="J75" s="2">
        <v>16330.0</v>
      </c>
      <c r="K75" s="2">
        <v>123.0</v>
      </c>
      <c r="L75" s="2" t="s">
        <v>24</v>
      </c>
      <c r="M75" s="2" t="s">
        <v>38</v>
      </c>
    </row>
    <row r="76" ht="14.25" customHeight="1">
      <c r="A76" s="2" t="s">
        <v>198</v>
      </c>
      <c r="B76" s="2" t="s">
        <v>31</v>
      </c>
      <c r="C76" s="2" t="s">
        <v>199</v>
      </c>
      <c r="D76" s="2" t="s">
        <v>16</v>
      </c>
      <c r="E76" s="2" t="s">
        <v>17</v>
      </c>
      <c r="F76" s="2">
        <v>1674.0</v>
      </c>
      <c r="G76" s="2">
        <v>929.0</v>
      </c>
      <c r="H76" s="2">
        <v>37.0</v>
      </c>
      <c r="I76" s="2">
        <v>21762.0</v>
      </c>
      <c r="J76" s="2">
        <v>20998.0</v>
      </c>
      <c r="K76" s="2">
        <v>255.0</v>
      </c>
      <c r="L76" s="2" t="s">
        <v>162</v>
      </c>
      <c r="M76" s="2" t="s">
        <v>38</v>
      </c>
    </row>
    <row r="77" ht="14.25" customHeight="1">
      <c r="A77" s="2" t="s">
        <v>200</v>
      </c>
      <c r="B77" s="2" t="s">
        <v>14</v>
      </c>
      <c r="C77" s="2" t="s">
        <v>201</v>
      </c>
      <c r="D77" s="2" t="s">
        <v>33</v>
      </c>
      <c r="E77" s="2" t="s">
        <v>34</v>
      </c>
      <c r="F77" s="2">
        <v>1121.0</v>
      </c>
      <c r="G77" s="2">
        <v>135.0</v>
      </c>
      <c r="H77" s="2">
        <v>18.0</v>
      </c>
      <c r="I77" s="2">
        <v>15694.0</v>
      </c>
      <c r="J77" s="2">
        <v>14957.0</v>
      </c>
      <c r="K77" s="2">
        <v>99.0</v>
      </c>
      <c r="L77" s="2" t="s">
        <v>66</v>
      </c>
      <c r="M77" s="2" t="s">
        <v>55</v>
      </c>
    </row>
    <row r="78" ht="14.25" customHeight="1">
      <c r="A78" s="2" t="s">
        <v>202</v>
      </c>
      <c r="B78" s="2" t="s">
        <v>40</v>
      </c>
      <c r="C78" s="2" t="s">
        <v>101</v>
      </c>
      <c r="D78" s="2" t="s">
        <v>33</v>
      </c>
      <c r="E78" s="2" t="s">
        <v>34</v>
      </c>
      <c r="F78" s="2">
        <v>1249.0</v>
      </c>
      <c r="G78" s="2">
        <v>116.0</v>
      </c>
      <c r="H78" s="2">
        <v>420.0</v>
      </c>
      <c r="I78" s="2">
        <v>8743.0</v>
      </c>
      <c r="J78" s="2">
        <v>8538.0</v>
      </c>
      <c r="K78" s="2">
        <v>63.0</v>
      </c>
      <c r="L78" s="2" t="s">
        <v>71</v>
      </c>
      <c r="M78" s="2" t="s">
        <v>38</v>
      </c>
    </row>
    <row r="79" ht="14.25" customHeight="1">
      <c r="A79" s="2" t="s">
        <v>203</v>
      </c>
      <c r="B79" s="2" t="s">
        <v>14</v>
      </c>
      <c r="C79" s="2" t="s">
        <v>159</v>
      </c>
      <c r="D79" s="2" t="s">
        <v>49</v>
      </c>
      <c r="E79" s="2" t="s">
        <v>50</v>
      </c>
      <c r="F79" s="2">
        <v>954.0</v>
      </c>
      <c r="G79" s="2">
        <v>324.0</v>
      </c>
      <c r="H79" s="2">
        <v>288.0</v>
      </c>
      <c r="I79" s="2">
        <v>19080.0</v>
      </c>
      <c r="J79" s="2">
        <v>18859.0</v>
      </c>
      <c r="K79" s="2">
        <v>21.0</v>
      </c>
      <c r="L79" s="2" t="s">
        <v>44</v>
      </c>
      <c r="M79" s="2" t="s">
        <v>38</v>
      </c>
    </row>
    <row r="80" ht="14.25" customHeight="1">
      <c r="A80" s="2" t="s">
        <v>204</v>
      </c>
      <c r="B80" s="2" t="s">
        <v>31</v>
      </c>
      <c r="C80" s="2" t="s">
        <v>205</v>
      </c>
      <c r="D80" s="2" t="s">
        <v>42</v>
      </c>
      <c r="E80" s="2" t="s">
        <v>43</v>
      </c>
      <c r="F80" s="2">
        <v>3068.0</v>
      </c>
      <c r="G80" s="2">
        <v>137.0</v>
      </c>
      <c r="H80" s="2">
        <v>329.0</v>
      </c>
      <c r="I80" s="2">
        <v>39884.0</v>
      </c>
      <c r="J80" s="2">
        <v>39404.0</v>
      </c>
      <c r="K80" s="2">
        <v>266.0</v>
      </c>
      <c r="L80" s="2" t="s">
        <v>102</v>
      </c>
      <c r="M80" s="2" t="s">
        <v>38</v>
      </c>
    </row>
    <row r="81" ht="14.25" customHeight="1">
      <c r="A81" s="2" t="s">
        <v>206</v>
      </c>
      <c r="B81" s="2" t="s">
        <v>31</v>
      </c>
      <c r="C81" s="2" t="s">
        <v>152</v>
      </c>
      <c r="D81" s="2" t="s">
        <v>33</v>
      </c>
      <c r="E81" s="2" t="s">
        <v>34</v>
      </c>
      <c r="F81" s="2">
        <v>2103.0</v>
      </c>
      <c r="G81" s="2">
        <v>892.0</v>
      </c>
      <c r="H81" s="2">
        <v>103.0</v>
      </c>
      <c r="I81" s="2">
        <v>39957.0</v>
      </c>
      <c r="J81" s="2">
        <v>39466.0</v>
      </c>
      <c r="K81" s="2">
        <v>28.0</v>
      </c>
      <c r="L81" s="2" t="s">
        <v>144</v>
      </c>
      <c r="M81" s="2" t="s">
        <v>25</v>
      </c>
    </row>
    <row r="82" ht="14.25" customHeight="1">
      <c r="A82" s="2" t="s">
        <v>207</v>
      </c>
      <c r="B82" s="2" t="s">
        <v>31</v>
      </c>
      <c r="C82" s="2" t="s">
        <v>208</v>
      </c>
      <c r="D82" s="2" t="s">
        <v>33</v>
      </c>
      <c r="E82" s="2" t="s">
        <v>34</v>
      </c>
      <c r="F82" s="2">
        <v>1816.0</v>
      </c>
      <c r="G82" s="2">
        <v>29.0</v>
      </c>
      <c r="H82" s="2">
        <v>41.0</v>
      </c>
      <c r="I82" s="2">
        <v>19976.0</v>
      </c>
      <c r="J82" s="2">
        <v>19262.0</v>
      </c>
      <c r="K82" s="2">
        <v>283.0</v>
      </c>
      <c r="L82" s="2" t="s">
        <v>209</v>
      </c>
      <c r="M82" s="2" t="s">
        <v>38</v>
      </c>
    </row>
    <row r="83" ht="14.25" customHeight="1">
      <c r="A83" s="2" t="s">
        <v>210</v>
      </c>
      <c r="B83" s="2" t="s">
        <v>31</v>
      </c>
      <c r="C83" s="2" t="s">
        <v>211</v>
      </c>
      <c r="D83" s="2" t="s">
        <v>49</v>
      </c>
      <c r="E83" s="2" t="s">
        <v>50</v>
      </c>
      <c r="F83" s="2">
        <v>725.0</v>
      </c>
      <c r="G83" s="2">
        <v>88.0</v>
      </c>
      <c r="H83" s="2">
        <v>428.0</v>
      </c>
      <c r="I83" s="2">
        <v>14500.0</v>
      </c>
      <c r="J83" s="2">
        <v>13637.0</v>
      </c>
      <c r="K83" s="2">
        <v>200.0</v>
      </c>
      <c r="L83" s="2" t="s">
        <v>44</v>
      </c>
      <c r="M83" s="2" t="s">
        <v>38</v>
      </c>
    </row>
    <row r="84" ht="14.25" customHeight="1">
      <c r="A84" s="2" t="s">
        <v>212</v>
      </c>
      <c r="B84" s="2" t="s">
        <v>27</v>
      </c>
      <c r="C84" s="2" t="s">
        <v>213</v>
      </c>
      <c r="D84" s="2" t="s">
        <v>69</v>
      </c>
      <c r="E84" s="2" t="s">
        <v>70</v>
      </c>
      <c r="F84" s="2">
        <v>1094.0</v>
      </c>
      <c r="G84" s="2">
        <v>472.0</v>
      </c>
      <c r="H84" s="2">
        <v>21.0</v>
      </c>
      <c r="I84" s="2">
        <v>9846.0</v>
      </c>
      <c r="J84" s="2">
        <v>9609.0</v>
      </c>
      <c r="K84" s="2">
        <v>112.0</v>
      </c>
      <c r="L84" s="2" t="s">
        <v>214</v>
      </c>
      <c r="M84" s="2" t="s">
        <v>38</v>
      </c>
    </row>
    <row r="85" ht="14.25" customHeight="1">
      <c r="A85" s="2" t="s">
        <v>215</v>
      </c>
      <c r="B85" s="2" t="s">
        <v>40</v>
      </c>
      <c r="C85" s="2" t="s">
        <v>216</v>
      </c>
      <c r="D85" s="2" t="s">
        <v>49</v>
      </c>
      <c r="E85" s="2" t="s">
        <v>50</v>
      </c>
      <c r="F85" s="2">
        <v>1841.0</v>
      </c>
      <c r="G85" s="2">
        <v>851.0</v>
      </c>
      <c r="H85" s="2">
        <v>342.0</v>
      </c>
      <c r="I85" s="2">
        <v>34979.0</v>
      </c>
      <c r="J85" s="2">
        <v>34154.0</v>
      </c>
      <c r="K85" s="2">
        <v>255.0</v>
      </c>
      <c r="L85" s="2" t="s">
        <v>71</v>
      </c>
      <c r="M85" s="2" t="s">
        <v>19</v>
      </c>
    </row>
    <row r="86" ht="14.25" customHeight="1">
      <c r="A86" s="2" t="s">
        <v>217</v>
      </c>
      <c r="B86" s="2" t="s">
        <v>31</v>
      </c>
      <c r="C86" s="2" t="s">
        <v>120</v>
      </c>
      <c r="D86" s="2" t="s">
        <v>49</v>
      </c>
      <c r="E86" s="2" t="s">
        <v>50</v>
      </c>
      <c r="F86" s="2">
        <v>4177.0</v>
      </c>
      <c r="G86" s="2">
        <v>569.0</v>
      </c>
      <c r="H86" s="2">
        <v>55.0</v>
      </c>
      <c r="I86" s="2">
        <v>25062.0</v>
      </c>
      <c r="J86" s="2">
        <v>24847.0</v>
      </c>
      <c r="K86" s="2">
        <v>230.0</v>
      </c>
      <c r="L86" s="2" t="s">
        <v>24</v>
      </c>
      <c r="M86" s="2" t="s">
        <v>19</v>
      </c>
    </row>
    <row r="87" ht="14.25" customHeight="1">
      <c r="A87" s="2" t="s">
        <v>218</v>
      </c>
      <c r="B87" s="2" t="s">
        <v>27</v>
      </c>
      <c r="C87" s="2" t="s">
        <v>219</v>
      </c>
      <c r="D87" s="2" t="s">
        <v>22</v>
      </c>
      <c r="E87" s="2" t="s">
        <v>23</v>
      </c>
      <c r="F87" s="2">
        <v>3428.0</v>
      </c>
      <c r="G87" s="2">
        <v>305.0</v>
      </c>
      <c r="H87" s="2">
        <v>85.0</v>
      </c>
      <c r="I87" s="2">
        <v>58276.0</v>
      </c>
      <c r="J87" s="2">
        <v>58052.0</v>
      </c>
      <c r="K87" s="2">
        <v>242.0</v>
      </c>
      <c r="L87" s="2" t="s">
        <v>214</v>
      </c>
      <c r="M87" s="2" t="s">
        <v>38</v>
      </c>
    </row>
    <row r="88" ht="14.25" customHeight="1">
      <c r="A88" s="2" t="s">
        <v>220</v>
      </c>
      <c r="B88" s="2" t="s">
        <v>14</v>
      </c>
      <c r="C88" s="2" t="s">
        <v>221</v>
      </c>
      <c r="D88" s="2" t="s">
        <v>69</v>
      </c>
      <c r="E88" s="2" t="s">
        <v>70</v>
      </c>
      <c r="F88" s="2">
        <v>1436.0</v>
      </c>
      <c r="G88" s="2">
        <v>765.0</v>
      </c>
      <c r="H88" s="2">
        <v>496.0</v>
      </c>
      <c r="I88" s="2">
        <v>12924.0</v>
      </c>
      <c r="J88" s="2">
        <v>12701.0</v>
      </c>
      <c r="K88" s="2">
        <v>197.0</v>
      </c>
      <c r="L88" s="2" t="s">
        <v>209</v>
      </c>
      <c r="M88" s="2" t="s">
        <v>25</v>
      </c>
    </row>
    <row r="89" ht="14.25" customHeight="1">
      <c r="A89" s="2" t="s">
        <v>222</v>
      </c>
      <c r="B89" s="2" t="s">
        <v>40</v>
      </c>
      <c r="C89" s="2" t="s">
        <v>223</v>
      </c>
      <c r="D89" s="2" t="s">
        <v>33</v>
      </c>
      <c r="E89" s="2" t="s">
        <v>34</v>
      </c>
      <c r="F89" s="2">
        <v>302.0</v>
      </c>
      <c r="G89" s="2">
        <v>47.0</v>
      </c>
      <c r="H89" s="2">
        <v>430.0</v>
      </c>
      <c r="I89" s="2">
        <v>5738.0</v>
      </c>
      <c r="J89" s="2">
        <v>4890.0</v>
      </c>
      <c r="K89" s="2">
        <v>25.0</v>
      </c>
      <c r="L89" s="2" t="s">
        <v>29</v>
      </c>
      <c r="M89" s="2" t="s">
        <v>25</v>
      </c>
    </row>
    <row r="90" ht="14.25" customHeight="1">
      <c r="A90" s="2" t="s">
        <v>224</v>
      </c>
      <c r="B90" s="2" t="s">
        <v>14</v>
      </c>
      <c r="C90" s="2" t="s">
        <v>225</v>
      </c>
      <c r="D90" s="2" t="s">
        <v>49</v>
      </c>
      <c r="E90" s="2" t="s">
        <v>50</v>
      </c>
      <c r="F90" s="2">
        <v>2214.0</v>
      </c>
      <c r="G90" s="2">
        <v>249.0</v>
      </c>
      <c r="H90" s="2">
        <v>152.0</v>
      </c>
      <c r="I90" s="2">
        <v>15498.0</v>
      </c>
      <c r="J90" s="2">
        <v>14800.0</v>
      </c>
      <c r="K90" s="2">
        <v>180.0</v>
      </c>
      <c r="L90" s="2" t="s">
        <v>18</v>
      </c>
      <c r="M90" s="2" t="s">
        <v>25</v>
      </c>
    </row>
    <row r="91" ht="14.25" customHeight="1">
      <c r="A91" s="2" t="s">
        <v>226</v>
      </c>
      <c r="B91" s="2" t="s">
        <v>31</v>
      </c>
      <c r="C91" s="2" t="s">
        <v>227</v>
      </c>
      <c r="D91" s="2" t="s">
        <v>49</v>
      </c>
      <c r="E91" s="2" t="s">
        <v>50</v>
      </c>
      <c r="F91" s="2">
        <v>3861.0</v>
      </c>
      <c r="G91" s="2">
        <v>960.0</v>
      </c>
      <c r="H91" s="2">
        <v>101.0</v>
      </c>
      <c r="I91" s="2">
        <v>69498.0</v>
      </c>
      <c r="J91" s="2">
        <v>68817.0</v>
      </c>
      <c r="K91" s="2">
        <v>297.0</v>
      </c>
      <c r="L91" s="2" t="s">
        <v>24</v>
      </c>
      <c r="M91" s="2" t="s">
        <v>25</v>
      </c>
    </row>
    <row r="92" ht="14.25" customHeight="1">
      <c r="A92" s="2" t="s">
        <v>228</v>
      </c>
      <c r="B92" s="2" t="s">
        <v>40</v>
      </c>
      <c r="C92" s="2" t="s">
        <v>229</v>
      </c>
      <c r="D92" s="2" t="s">
        <v>49</v>
      </c>
      <c r="E92" s="2" t="s">
        <v>50</v>
      </c>
      <c r="F92" s="2">
        <v>1263.0</v>
      </c>
      <c r="G92" s="2">
        <v>397.0</v>
      </c>
      <c r="H92" s="2">
        <v>357.0</v>
      </c>
      <c r="I92" s="2">
        <v>25260.0</v>
      </c>
      <c r="J92" s="2">
        <v>24615.0</v>
      </c>
      <c r="K92" s="2">
        <v>137.0</v>
      </c>
      <c r="L92" s="2" t="s">
        <v>18</v>
      </c>
      <c r="M92" s="2" t="s">
        <v>25</v>
      </c>
    </row>
    <row r="93" ht="14.25" customHeight="1">
      <c r="A93" s="2" t="s">
        <v>230</v>
      </c>
      <c r="B93" s="2" t="s">
        <v>14</v>
      </c>
      <c r="C93" s="2" t="s">
        <v>164</v>
      </c>
      <c r="D93" s="2" t="s">
        <v>33</v>
      </c>
      <c r="E93" s="2" t="s">
        <v>34</v>
      </c>
      <c r="F93" s="2">
        <v>3801.0</v>
      </c>
      <c r="G93" s="2">
        <v>967.0</v>
      </c>
      <c r="H93" s="2">
        <v>401.0</v>
      </c>
      <c r="I93" s="2">
        <v>38010.0</v>
      </c>
      <c r="J93" s="2">
        <v>37625.0</v>
      </c>
      <c r="K93" s="2">
        <v>236.0</v>
      </c>
      <c r="L93" s="2" t="s">
        <v>58</v>
      </c>
      <c r="M93" s="2" t="s">
        <v>55</v>
      </c>
    </row>
    <row r="94" ht="14.25" customHeight="1">
      <c r="A94" s="2" t="s">
        <v>231</v>
      </c>
      <c r="B94" s="2" t="s">
        <v>31</v>
      </c>
      <c r="C94" s="2" t="s">
        <v>232</v>
      </c>
      <c r="D94" s="2" t="s">
        <v>69</v>
      </c>
      <c r="E94" s="2" t="s">
        <v>70</v>
      </c>
      <c r="F94" s="2">
        <v>1431.0</v>
      </c>
      <c r="G94" s="2">
        <v>951.0</v>
      </c>
      <c r="H94" s="2">
        <v>26.0</v>
      </c>
      <c r="I94" s="2">
        <v>8586.0</v>
      </c>
      <c r="J94" s="2">
        <v>8396.0</v>
      </c>
      <c r="K94" s="2">
        <v>150.0</v>
      </c>
      <c r="L94" s="2" t="s">
        <v>116</v>
      </c>
      <c r="M94" s="2" t="s">
        <v>19</v>
      </c>
    </row>
    <row r="95" ht="14.25" customHeight="1">
      <c r="A95" s="2" t="s">
        <v>233</v>
      </c>
      <c r="B95" s="2" t="s">
        <v>31</v>
      </c>
      <c r="C95" s="2" t="s">
        <v>201</v>
      </c>
      <c r="D95" s="2" t="s">
        <v>49</v>
      </c>
      <c r="E95" s="2" t="s">
        <v>50</v>
      </c>
      <c r="F95" s="2">
        <v>2647.0</v>
      </c>
      <c r="G95" s="2">
        <v>304.0</v>
      </c>
      <c r="H95" s="2">
        <v>170.0</v>
      </c>
      <c r="I95" s="2">
        <v>18529.0</v>
      </c>
      <c r="J95" s="2">
        <v>17841.0</v>
      </c>
      <c r="K95" s="2">
        <v>46.0</v>
      </c>
      <c r="L95" s="2" t="s">
        <v>58</v>
      </c>
      <c r="M95" s="2" t="s">
        <v>25</v>
      </c>
    </row>
    <row r="96" ht="14.25" customHeight="1">
      <c r="A96" s="2" t="s">
        <v>234</v>
      </c>
      <c r="B96" s="2" t="s">
        <v>31</v>
      </c>
      <c r="C96" s="2" t="s">
        <v>235</v>
      </c>
      <c r="D96" s="2" t="s">
        <v>22</v>
      </c>
      <c r="E96" s="2" t="s">
        <v>23</v>
      </c>
      <c r="F96" s="2">
        <v>3182.0</v>
      </c>
      <c r="G96" s="2">
        <v>559.0</v>
      </c>
      <c r="H96" s="2">
        <v>160.0</v>
      </c>
      <c r="I96" s="2">
        <v>57276.0</v>
      </c>
      <c r="J96" s="2">
        <v>56890.0</v>
      </c>
      <c r="K96" s="2">
        <v>163.0</v>
      </c>
      <c r="L96" s="2" t="s">
        <v>87</v>
      </c>
      <c r="M96" s="2" t="s">
        <v>25</v>
      </c>
    </row>
    <row r="97" ht="14.25" customHeight="1">
      <c r="A97" s="2" t="s">
        <v>236</v>
      </c>
      <c r="B97" s="2" t="s">
        <v>14</v>
      </c>
      <c r="C97" s="2" t="s">
        <v>237</v>
      </c>
      <c r="D97" s="2" t="s">
        <v>49</v>
      </c>
      <c r="E97" s="2" t="s">
        <v>50</v>
      </c>
      <c r="F97" s="2">
        <v>1238.0</v>
      </c>
      <c r="G97" s="2">
        <v>366.0</v>
      </c>
      <c r="H97" s="2">
        <v>444.0</v>
      </c>
      <c r="I97" s="2">
        <v>19808.0</v>
      </c>
      <c r="J97" s="2">
        <v>19334.0</v>
      </c>
      <c r="K97" s="2">
        <v>123.0</v>
      </c>
      <c r="L97" s="2" t="s">
        <v>77</v>
      </c>
      <c r="M97" s="2" t="s">
        <v>38</v>
      </c>
    </row>
    <row r="98" ht="14.25" customHeight="1">
      <c r="A98" s="2" t="s">
        <v>238</v>
      </c>
      <c r="B98" s="2" t="s">
        <v>31</v>
      </c>
      <c r="C98" s="2" t="s">
        <v>239</v>
      </c>
      <c r="D98" s="2" t="s">
        <v>49</v>
      </c>
      <c r="E98" s="2" t="s">
        <v>50</v>
      </c>
      <c r="F98" s="2">
        <v>4739.0</v>
      </c>
      <c r="G98" s="2">
        <v>527.0</v>
      </c>
      <c r="H98" s="2">
        <v>135.0</v>
      </c>
      <c r="I98" s="2">
        <v>61607.0</v>
      </c>
      <c r="J98" s="2">
        <v>61333.0</v>
      </c>
      <c r="K98" s="2">
        <v>36.0</v>
      </c>
      <c r="L98" s="2" t="s">
        <v>61</v>
      </c>
      <c r="M98" s="2" t="s">
        <v>25</v>
      </c>
    </row>
    <row r="99" ht="14.25" customHeight="1">
      <c r="A99" s="2" t="s">
        <v>240</v>
      </c>
      <c r="B99" s="2" t="s">
        <v>14</v>
      </c>
      <c r="C99" s="2" t="s">
        <v>148</v>
      </c>
      <c r="D99" s="2" t="s">
        <v>33</v>
      </c>
      <c r="E99" s="2" t="s">
        <v>34</v>
      </c>
      <c r="F99" s="2">
        <v>1575.0</v>
      </c>
      <c r="G99" s="2">
        <v>771.0</v>
      </c>
      <c r="H99" s="2">
        <v>486.0</v>
      </c>
      <c r="I99" s="2">
        <v>25200.0</v>
      </c>
      <c r="J99" s="2">
        <v>24826.0</v>
      </c>
      <c r="K99" s="2">
        <v>17.0</v>
      </c>
      <c r="L99" s="2" t="s">
        <v>58</v>
      </c>
      <c r="M99" s="2" t="s">
        <v>38</v>
      </c>
    </row>
    <row r="100" ht="14.25" customHeight="1">
      <c r="A100" s="2" t="s">
        <v>241</v>
      </c>
      <c r="B100" s="2" t="s">
        <v>27</v>
      </c>
      <c r="C100" s="2" t="s">
        <v>242</v>
      </c>
      <c r="D100" s="2" t="s">
        <v>42</v>
      </c>
      <c r="E100" s="2" t="s">
        <v>43</v>
      </c>
      <c r="F100" s="2">
        <v>4171.0</v>
      </c>
      <c r="G100" s="2">
        <v>548.0</v>
      </c>
      <c r="H100" s="2">
        <v>86.0</v>
      </c>
      <c r="I100" s="2">
        <v>66736.0</v>
      </c>
      <c r="J100" s="2">
        <v>66634.0</v>
      </c>
      <c r="K100" s="2">
        <v>173.0</v>
      </c>
      <c r="L100" s="2" t="s">
        <v>58</v>
      </c>
      <c r="M100" s="2" t="s">
        <v>38</v>
      </c>
    </row>
    <row r="101" ht="14.25" customHeight="1">
      <c r="A101" s="2" t="s">
        <v>243</v>
      </c>
      <c r="B101" s="2" t="s">
        <v>27</v>
      </c>
      <c r="C101" s="2" t="s">
        <v>244</v>
      </c>
      <c r="D101" s="2" t="s">
        <v>69</v>
      </c>
      <c r="E101" s="2" t="s">
        <v>70</v>
      </c>
      <c r="F101" s="2">
        <v>1766.0</v>
      </c>
      <c r="G101" s="2">
        <v>92.0</v>
      </c>
      <c r="H101" s="2">
        <v>424.0</v>
      </c>
      <c r="I101" s="2">
        <v>24724.0</v>
      </c>
      <c r="J101" s="2">
        <v>24333.0</v>
      </c>
      <c r="K101" s="2">
        <v>52.0</v>
      </c>
      <c r="L101" s="2" t="s">
        <v>58</v>
      </c>
      <c r="M101" s="2" t="s">
        <v>19</v>
      </c>
    </row>
    <row r="102" ht="14.25" customHeight="1">
      <c r="A102" s="2" t="s">
        <v>245</v>
      </c>
      <c r="B102" s="2" t="s">
        <v>27</v>
      </c>
      <c r="C102" s="2" t="s">
        <v>195</v>
      </c>
      <c r="D102" s="2" t="s">
        <v>69</v>
      </c>
      <c r="E102" s="2" t="s">
        <v>70</v>
      </c>
      <c r="F102" s="2">
        <v>4450.0</v>
      </c>
      <c r="G102" s="2">
        <v>983.0</v>
      </c>
      <c r="H102" s="2">
        <v>143.0</v>
      </c>
      <c r="I102" s="2">
        <v>75650.0</v>
      </c>
      <c r="J102" s="2">
        <v>75008.0</v>
      </c>
      <c r="K102" s="2">
        <v>12.0</v>
      </c>
      <c r="L102" s="2" t="s">
        <v>82</v>
      </c>
      <c r="M102" s="2" t="s">
        <v>25</v>
      </c>
    </row>
    <row r="103" ht="14.25" customHeight="1">
      <c r="A103" s="2" t="s">
        <v>246</v>
      </c>
      <c r="B103" s="2" t="s">
        <v>14</v>
      </c>
      <c r="C103" s="2" t="s">
        <v>247</v>
      </c>
      <c r="D103" s="2" t="s">
        <v>16</v>
      </c>
      <c r="E103" s="2" t="s">
        <v>17</v>
      </c>
      <c r="F103" s="2">
        <v>1000.0</v>
      </c>
      <c r="G103" s="2">
        <v>978.0</v>
      </c>
      <c r="H103" s="2">
        <v>162.0</v>
      </c>
      <c r="I103" s="2">
        <v>6000.0</v>
      </c>
      <c r="J103" s="2">
        <v>5221.0</v>
      </c>
      <c r="K103" s="2">
        <v>223.0</v>
      </c>
      <c r="L103" s="2" t="s">
        <v>105</v>
      </c>
      <c r="M103" s="2" t="s">
        <v>38</v>
      </c>
    </row>
    <row r="104" ht="14.25" customHeight="1">
      <c r="A104" s="2" t="s">
        <v>248</v>
      </c>
      <c r="B104" s="2" t="s">
        <v>40</v>
      </c>
      <c r="C104" s="2" t="s">
        <v>249</v>
      </c>
      <c r="D104" s="2" t="s">
        <v>49</v>
      </c>
      <c r="E104" s="2" t="s">
        <v>50</v>
      </c>
      <c r="F104" s="2">
        <v>3689.0</v>
      </c>
      <c r="G104" s="2">
        <v>48.0</v>
      </c>
      <c r="H104" s="2">
        <v>306.0</v>
      </c>
      <c r="I104" s="2">
        <v>40579.0</v>
      </c>
      <c r="J104" s="2">
        <v>39588.0</v>
      </c>
      <c r="K104" s="2">
        <v>212.0</v>
      </c>
      <c r="L104" s="2" t="s">
        <v>44</v>
      </c>
      <c r="M104" s="2" t="s">
        <v>19</v>
      </c>
    </row>
    <row r="105" ht="14.25" customHeight="1">
      <c r="A105" s="2" t="s">
        <v>250</v>
      </c>
      <c r="B105" s="2" t="s">
        <v>27</v>
      </c>
      <c r="C105" s="2" t="s">
        <v>251</v>
      </c>
      <c r="D105" s="2" t="s">
        <v>33</v>
      </c>
      <c r="E105" s="2" t="s">
        <v>34</v>
      </c>
      <c r="F105" s="2">
        <v>3655.0</v>
      </c>
      <c r="G105" s="2">
        <v>568.0</v>
      </c>
      <c r="H105" s="2">
        <v>286.0</v>
      </c>
      <c r="I105" s="2">
        <v>32895.0</v>
      </c>
      <c r="J105" s="2">
        <v>32015.0</v>
      </c>
      <c r="K105" s="2">
        <v>199.0</v>
      </c>
      <c r="L105" s="2" t="s">
        <v>44</v>
      </c>
      <c r="M105" s="2" t="s">
        <v>55</v>
      </c>
    </row>
    <row r="106" ht="14.25" customHeight="1">
      <c r="A106" s="2" t="s">
        <v>252</v>
      </c>
      <c r="B106" s="2" t="s">
        <v>31</v>
      </c>
      <c r="C106" s="2" t="s">
        <v>253</v>
      </c>
      <c r="D106" s="2" t="s">
        <v>42</v>
      </c>
      <c r="E106" s="2" t="s">
        <v>43</v>
      </c>
      <c r="F106" s="2">
        <v>498.0</v>
      </c>
      <c r="G106" s="2">
        <v>38.0</v>
      </c>
      <c r="H106" s="2">
        <v>42.0</v>
      </c>
      <c r="I106" s="2">
        <v>4482.0</v>
      </c>
      <c r="J106" s="2">
        <v>3647.0</v>
      </c>
      <c r="K106" s="2">
        <v>32.0</v>
      </c>
      <c r="L106" s="2" t="s">
        <v>162</v>
      </c>
      <c r="M106" s="2" t="s">
        <v>55</v>
      </c>
    </row>
    <row r="107" ht="14.25" customHeight="1">
      <c r="A107" s="2" t="s">
        <v>254</v>
      </c>
      <c r="B107" s="2" t="s">
        <v>31</v>
      </c>
      <c r="C107" s="2" t="s">
        <v>255</v>
      </c>
      <c r="D107" s="2" t="s">
        <v>49</v>
      </c>
      <c r="E107" s="2" t="s">
        <v>50</v>
      </c>
      <c r="F107" s="2">
        <v>4619.0</v>
      </c>
      <c r="G107" s="2">
        <v>821.0</v>
      </c>
      <c r="H107" s="2">
        <v>499.0</v>
      </c>
      <c r="I107" s="2">
        <v>69285.0</v>
      </c>
      <c r="J107" s="2">
        <v>69141.0</v>
      </c>
      <c r="K107" s="2">
        <v>298.0</v>
      </c>
      <c r="L107" s="2" t="s">
        <v>24</v>
      </c>
      <c r="M107" s="2" t="s">
        <v>19</v>
      </c>
    </row>
    <row r="108" ht="14.25" customHeight="1">
      <c r="A108" s="2" t="s">
        <v>256</v>
      </c>
      <c r="B108" s="2" t="s">
        <v>27</v>
      </c>
      <c r="C108" s="2" t="s">
        <v>257</v>
      </c>
      <c r="D108" s="2" t="s">
        <v>49</v>
      </c>
      <c r="E108" s="2" t="s">
        <v>50</v>
      </c>
      <c r="F108" s="2">
        <v>4832.0</v>
      </c>
      <c r="G108" s="2">
        <v>893.0</v>
      </c>
      <c r="H108" s="2">
        <v>10.0</v>
      </c>
      <c r="I108" s="2">
        <v>91808.0</v>
      </c>
      <c r="J108" s="2">
        <v>91296.0</v>
      </c>
      <c r="K108" s="2">
        <v>182.0</v>
      </c>
      <c r="L108" s="2" t="s">
        <v>82</v>
      </c>
      <c r="M108" s="2" t="s">
        <v>38</v>
      </c>
    </row>
    <row r="109" ht="14.25" customHeight="1">
      <c r="A109" s="2" t="s">
        <v>258</v>
      </c>
      <c r="B109" s="2" t="s">
        <v>14</v>
      </c>
      <c r="C109" s="2" t="s">
        <v>259</v>
      </c>
      <c r="D109" s="2" t="s">
        <v>69</v>
      </c>
      <c r="E109" s="2" t="s">
        <v>70</v>
      </c>
      <c r="F109" s="2">
        <v>4050.0</v>
      </c>
      <c r="G109" s="2">
        <v>871.0</v>
      </c>
      <c r="H109" s="2">
        <v>347.0</v>
      </c>
      <c r="I109" s="2">
        <v>52650.0</v>
      </c>
      <c r="J109" s="2">
        <v>51755.0</v>
      </c>
      <c r="K109" s="2">
        <v>209.0</v>
      </c>
      <c r="L109" s="2" t="s">
        <v>162</v>
      </c>
      <c r="M109" s="2" t="s">
        <v>19</v>
      </c>
    </row>
    <row r="110" ht="14.25" customHeight="1">
      <c r="A110" s="2" t="s">
        <v>260</v>
      </c>
      <c r="B110" s="2" t="s">
        <v>14</v>
      </c>
      <c r="C110" s="2" t="s">
        <v>261</v>
      </c>
      <c r="D110" s="2" t="s">
        <v>33</v>
      </c>
      <c r="E110" s="2" t="s">
        <v>34</v>
      </c>
      <c r="F110" s="2">
        <v>3649.0</v>
      </c>
      <c r="G110" s="2">
        <v>215.0</v>
      </c>
      <c r="H110" s="2">
        <v>413.0</v>
      </c>
      <c r="I110" s="2">
        <v>25543.0</v>
      </c>
      <c r="J110" s="2">
        <v>24963.0</v>
      </c>
      <c r="K110" s="2">
        <v>167.0</v>
      </c>
      <c r="L110" s="2" t="s">
        <v>146</v>
      </c>
      <c r="M110" s="2" t="s">
        <v>19</v>
      </c>
    </row>
    <row r="111" ht="14.25" customHeight="1">
      <c r="A111" s="2" t="s">
        <v>262</v>
      </c>
      <c r="B111" s="2" t="s">
        <v>31</v>
      </c>
      <c r="C111" s="2" t="s">
        <v>263</v>
      </c>
      <c r="D111" s="2" t="s">
        <v>16</v>
      </c>
      <c r="E111" s="2" t="s">
        <v>17</v>
      </c>
      <c r="F111" s="2">
        <v>3523.0</v>
      </c>
      <c r="G111" s="2">
        <v>753.0</v>
      </c>
      <c r="H111" s="2">
        <v>482.0</v>
      </c>
      <c r="I111" s="2">
        <v>38753.0</v>
      </c>
      <c r="J111" s="2">
        <v>38579.0</v>
      </c>
      <c r="K111" s="2">
        <v>270.0</v>
      </c>
      <c r="L111" s="2" t="s">
        <v>264</v>
      </c>
      <c r="M111" s="2" t="s">
        <v>25</v>
      </c>
    </row>
    <row r="112" ht="14.25" customHeight="1">
      <c r="A112" s="2" t="s">
        <v>265</v>
      </c>
      <c r="B112" s="2" t="s">
        <v>27</v>
      </c>
      <c r="C112" s="2" t="s">
        <v>266</v>
      </c>
      <c r="D112" s="2" t="s">
        <v>49</v>
      </c>
      <c r="E112" s="2" t="s">
        <v>50</v>
      </c>
      <c r="F112" s="2">
        <v>2719.0</v>
      </c>
      <c r="G112" s="2">
        <v>17.0</v>
      </c>
      <c r="H112" s="2">
        <v>285.0</v>
      </c>
      <c r="I112" s="2">
        <v>40785.0</v>
      </c>
      <c r="J112" s="2">
        <v>40281.0</v>
      </c>
      <c r="K112" s="2">
        <v>40.0</v>
      </c>
      <c r="L112" s="2" t="s">
        <v>146</v>
      </c>
      <c r="M112" s="2" t="s">
        <v>38</v>
      </c>
    </row>
    <row r="113" ht="14.25" customHeight="1">
      <c r="A113" s="2" t="s">
        <v>267</v>
      </c>
      <c r="B113" s="2" t="s">
        <v>14</v>
      </c>
      <c r="C113" s="2" t="s">
        <v>268</v>
      </c>
      <c r="D113" s="2" t="s">
        <v>33</v>
      </c>
      <c r="E113" s="2" t="s">
        <v>34</v>
      </c>
      <c r="F113" s="2">
        <v>1957.0</v>
      </c>
      <c r="G113" s="2">
        <v>877.0</v>
      </c>
      <c r="H113" s="2">
        <v>238.0</v>
      </c>
      <c r="I113" s="2">
        <v>17613.0</v>
      </c>
      <c r="J113" s="2">
        <v>16865.0</v>
      </c>
      <c r="K113" s="2">
        <v>297.0</v>
      </c>
      <c r="L113" s="2" t="s">
        <v>29</v>
      </c>
      <c r="M113" s="2" t="s">
        <v>38</v>
      </c>
    </row>
    <row r="114" ht="14.25" customHeight="1">
      <c r="A114" s="2" t="s">
        <v>269</v>
      </c>
      <c r="B114" s="2" t="s">
        <v>14</v>
      </c>
      <c r="C114" s="2" t="s">
        <v>270</v>
      </c>
      <c r="D114" s="2" t="s">
        <v>42</v>
      </c>
      <c r="E114" s="2" t="s">
        <v>43</v>
      </c>
      <c r="F114" s="2">
        <v>4419.0</v>
      </c>
      <c r="G114" s="2">
        <v>236.0</v>
      </c>
      <c r="H114" s="2">
        <v>369.0</v>
      </c>
      <c r="I114" s="2">
        <v>44190.0</v>
      </c>
      <c r="J114" s="2">
        <v>43582.0</v>
      </c>
      <c r="K114" s="2">
        <v>10.0</v>
      </c>
      <c r="L114" s="2" t="s">
        <v>44</v>
      </c>
      <c r="M114" s="2" t="s">
        <v>55</v>
      </c>
    </row>
    <row r="115" ht="14.25" customHeight="1">
      <c r="A115" s="2" t="s">
        <v>271</v>
      </c>
      <c r="B115" s="2" t="s">
        <v>14</v>
      </c>
      <c r="C115" s="2" t="s">
        <v>272</v>
      </c>
      <c r="D115" s="2" t="s">
        <v>33</v>
      </c>
      <c r="E115" s="2" t="s">
        <v>34</v>
      </c>
      <c r="F115" s="2">
        <v>4000.0</v>
      </c>
      <c r="G115" s="2">
        <v>689.0</v>
      </c>
      <c r="H115" s="2">
        <v>488.0</v>
      </c>
      <c r="I115" s="2">
        <v>40000.0</v>
      </c>
      <c r="J115" s="2">
        <v>39569.0</v>
      </c>
      <c r="K115" s="2">
        <v>44.0</v>
      </c>
      <c r="L115" s="2" t="s">
        <v>144</v>
      </c>
      <c r="M115" s="2" t="s">
        <v>38</v>
      </c>
    </row>
    <row r="116" ht="14.25" customHeight="1">
      <c r="A116" s="2" t="s">
        <v>273</v>
      </c>
      <c r="B116" s="2" t="s">
        <v>14</v>
      </c>
      <c r="C116" s="2" t="s">
        <v>274</v>
      </c>
      <c r="D116" s="2" t="s">
        <v>49</v>
      </c>
      <c r="E116" s="2" t="s">
        <v>50</v>
      </c>
      <c r="F116" s="2">
        <v>2493.0</v>
      </c>
      <c r="G116" s="2">
        <v>97.0</v>
      </c>
      <c r="H116" s="2">
        <v>44.0</v>
      </c>
      <c r="I116" s="2">
        <v>42381.0</v>
      </c>
      <c r="J116" s="2">
        <v>41991.0</v>
      </c>
      <c r="K116" s="2">
        <v>242.0</v>
      </c>
      <c r="L116" s="2" t="s">
        <v>82</v>
      </c>
      <c r="M116" s="2" t="s">
        <v>19</v>
      </c>
    </row>
    <row r="117" ht="14.25" customHeight="1">
      <c r="A117" s="2" t="s">
        <v>275</v>
      </c>
      <c r="B117" s="2" t="s">
        <v>27</v>
      </c>
      <c r="C117" s="2" t="s">
        <v>276</v>
      </c>
      <c r="D117" s="2" t="s">
        <v>16</v>
      </c>
      <c r="E117" s="2" t="s">
        <v>17</v>
      </c>
      <c r="F117" s="2">
        <v>3704.0</v>
      </c>
      <c r="G117" s="2">
        <v>186.0</v>
      </c>
      <c r="H117" s="2">
        <v>458.0</v>
      </c>
      <c r="I117" s="2">
        <v>25928.0</v>
      </c>
      <c r="J117" s="2">
        <v>25081.0</v>
      </c>
      <c r="K117" s="2">
        <v>131.0</v>
      </c>
      <c r="L117" s="2" t="s">
        <v>58</v>
      </c>
      <c r="M117" s="2" t="s">
        <v>19</v>
      </c>
    </row>
    <row r="118" ht="14.25" customHeight="1">
      <c r="A118" s="2" t="s">
        <v>277</v>
      </c>
      <c r="B118" s="2" t="s">
        <v>14</v>
      </c>
      <c r="C118" s="2" t="s">
        <v>278</v>
      </c>
      <c r="D118" s="2" t="s">
        <v>49</v>
      </c>
      <c r="E118" s="2" t="s">
        <v>50</v>
      </c>
      <c r="F118" s="2">
        <v>1606.0</v>
      </c>
      <c r="G118" s="2">
        <v>451.0</v>
      </c>
      <c r="H118" s="2">
        <v>405.0</v>
      </c>
      <c r="I118" s="2">
        <v>20878.0</v>
      </c>
      <c r="J118" s="2">
        <v>20190.0</v>
      </c>
      <c r="K118" s="2">
        <v>219.0</v>
      </c>
      <c r="L118" s="2" t="s">
        <v>82</v>
      </c>
      <c r="M118" s="2" t="s">
        <v>25</v>
      </c>
    </row>
    <row r="119" ht="14.25" customHeight="1">
      <c r="A119" s="2" t="s">
        <v>279</v>
      </c>
      <c r="B119" s="2" t="s">
        <v>40</v>
      </c>
      <c r="C119" s="2" t="s">
        <v>278</v>
      </c>
      <c r="D119" s="2" t="s">
        <v>49</v>
      </c>
      <c r="E119" s="2" t="s">
        <v>50</v>
      </c>
      <c r="F119" s="2">
        <v>4551.0</v>
      </c>
      <c r="G119" s="2">
        <v>714.0</v>
      </c>
      <c r="H119" s="2">
        <v>207.0</v>
      </c>
      <c r="I119" s="2">
        <v>68265.0</v>
      </c>
      <c r="J119" s="2">
        <v>67754.0</v>
      </c>
      <c r="K119" s="2">
        <v>57.0</v>
      </c>
      <c r="L119" s="2" t="s">
        <v>44</v>
      </c>
      <c r="M119" s="2" t="s">
        <v>25</v>
      </c>
    </row>
    <row r="120" ht="14.25" customHeight="1">
      <c r="A120" s="2" t="s">
        <v>280</v>
      </c>
      <c r="B120" s="2" t="s">
        <v>31</v>
      </c>
      <c r="C120" s="2" t="s">
        <v>281</v>
      </c>
      <c r="D120" s="2" t="s">
        <v>16</v>
      </c>
      <c r="E120" s="2" t="s">
        <v>17</v>
      </c>
      <c r="F120" s="2">
        <v>1970.0</v>
      </c>
      <c r="G120" s="2">
        <v>675.0</v>
      </c>
      <c r="H120" s="2">
        <v>478.0</v>
      </c>
      <c r="I120" s="2">
        <v>9850.0</v>
      </c>
      <c r="J120" s="2">
        <v>8924.0</v>
      </c>
      <c r="K120" s="2">
        <v>117.0</v>
      </c>
      <c r="L120" s="2" t="s">
        <v>44</v>
      </c>
      <c r="M120" s="2" t="s">
        <v>55</v>
      </c>
    </row>
    <row r="121" ht="14.25" customHeight="1">
      <c r="A121" s="2" t="s">
        <v>282</v>
      </c>
      <c r="B121" s="2" t="s">
        <v>40</v>
      </c>
      <c r="C121" s="2" t="s">
        <v>164</v>
      </c>
      <c r="D121" s="2" t="s">
        <v>33</v>
      </c>
      <c r="E121" s="2" t="s">
        <v>34</v>
      </c>
      <c r="F121" s="2">
        <v>780.0</v>
      </c>
      <c r="G121" s="2">
        <v>928.0</v>
      </c>
      <c r="H121" s="2">
        <v>301.0</v>
      </c>
      <c r="I121" s="2">
        <v>8580.0</v>
      </c>
      <c r="J121" s="2">
        <v>8081.0</v>
      </c>
      <c r="K121" s="2">
        <v>91.0</v>
      </c>
      <c r="L121" s="2" t="s">
        <v>66</v>
      </c>
      <c r="M121" s="2" t="s">
        <v>55</v>
      </c>
    </row>
    <row r="122" ht="14.25" customHeight="1">
      <c r="A122" s="2" t="s">
        <v>283</v>
      </c>
      <c r="B122" s="2" t="s">
        <v>31</v>
      </c>
      <c r="C122" s="2" t="s">
        <v>263</v>
      </c>
      <c r="D122" s="2" t="s">
        <v>33</v>
      </c>
      <c r="E122" s="2" t="s">
        <v>34</v>
      </c>
      <c r="F122" s="2">
        <v>498.0</v>
      </c>
      <c r="G122" s="2">
        <v>701.0</v>
      </c>
      <c r="H122" s="2">
        <v>412.0</v>
      </c>
      <c r="I122" s="2">
        <v>4980.0</v>
      </c>
      <c r="J122" s="2">
        <v>4185.0</v>
      </c>
      <c r="K122" s="2">
        <v>185.0</v>
      </c>
      <c r="L122" s="2" t="s">
        <v>264</v>
      </c>
      <c r="M122" s="2" t="s">
        <v>55</v>
      </c>
    </row>
    <row r="123" ht="14.25" customHeight="1">
      <c r="A123" s="2" t="s">
        <v>284</v>
      </c>
      <c r="B123" s="2" t="s">
        <v>31</v>
      </c>
      <c r="C123" s="2" t="s">
        <v>270</v>
      </c>
      <c r="D123" s="2" t="s">
        <v>22</v>
      </c>
      <c r="E123" s="2" t="s">
        <v>23</v>
      </c>
      <c r="F123" s="2">
        <v>3432.0</v>
      </c>
      <c r="G123" s="2">
        <v>869.0</v>
      </c>
      <c r="H123" s="2">
        <v>123.0</v>
      </c>
      <c r="I123" s="2">
        <v>54912.0</v>
      </c>
      <c r="J123" s="2">
        <v>53916.0</v>
      </c>
      <c r="K123" s="2">
        <v>264.0</v>
      </c>
      <c r="L123" s="2" t="s">
        <v>285</v>
      </c>
      <c r="M123" s="2" t="s">
        <v>25</v>
      </c>
    </row>
    <row r="124" ht="14.25" customHeight="1">
      <c r="A124" s="2" t="s">
        <v>286</v>
      </c>
      <c r="B124" s="2" t="s">
        <v>31</v>
      </c>
      <c r="C124" s="2" t="s">
        <v>253</v>
      </c>
      <c r="D124" s="2" t="s">
        <v>33</v>
      </c>
      <c r="E124" s="2" t="s">
        <v>34</v>
      </c>
      <c r="F124" s="2">
        <v>4363.0</v>
      </c>
      <c r="G124" s="2">
        <v>649.0</v>
      </c>
      <c r="H124" s="2">
        <v>140.0</v>
      </c>
      <c r="I124" s="2">
        <v>21815.0</v>
      </c>
      <c r="J124" s="2">
        <v>21481.0</v>
      </c>
      <c r="K124" s="2">
        <v>157.0</v>
      </c>
      <c r="L124" s="2" t="s">
        <v>66</v>
      </c>
      <c r="M124" s="2" t="s">
        <v>25</v>
      </c>
    </row>
    <row r="125" ht="14.25" customHeight="1">
      <c r="A125" s="2" t="s">
        <v>287</v>
      </c>
      <c r="B125" s="2" t="s">
        <v>27</v>
      </c>
      <c r="C125" s="2" t="s">
        <v>288</v>
      </c>
      <c r="D125" s="2" t="s">
        <v>42</v>
      </c>
      <c r="E125" s="2" t="s">
        <v>43</v>
      </c>
      <c r="F125" s="2">
        <v>736.0</v>
      </c>
      <c r="G125" s="2">
        <v>771.0</v>
      </c>
      <c r="H125" s="2">
        <v>225.0</v>
      </c>
      <c r="I125" s="2">
        <v>5152.0</v>
      </c>
      <c r="J125" s="2">
        <v>4706.0</v>
      </c>
      <c r="K125" s="2">
        <v>19.0</v>
      </c>
      <c r="L125" s="2" t="s">
        <v>58</v>
      </c>
      <c r="M125" s="2" t="s">
        <v>38</v>
      </c>
    </row>
    <row r="126" ht="14.25" customHeight="1">
      <c r="A126" s="2" t="s">
        <v>289</v>
      </c>
      <c r="B126" s="2" t="s">
        <v>14</v>
      </c>
      <c r="C126" s="2" t="s">
        <v>290</v>
      </c>
      <c r="D126" s="2" t="s">
        <v>42</v>
      </c>
      <c r="E126" s="2" t="s">
        <v>43</v>
      </c>
      <c r="F126" s="2">
        <v>3811.0</v>
      </c>
      <c r="G126" s="2">
        <v>866.0</v>
      </c>
      <c r="H126" s="2">
        <v>216.0</v>
      </c>
      <c r="I126" s="2">
        <v>34299.0</v>
      </c>
      <c r="J126" s="2">
        <v>34088.0</v>
      </c>
      <c r="K126" s="2">
        <v>233.0</v>
      </c>
      <c r="L126" s="2" t="s">
        <v>58</v>
      </c>
      <c r="M126" s="2" t="s">
        <v>38</v>
      </c>
    </row>
    <row r="127" ht="14.25" customHeight="1">
      <c r="A127" s="2" t="s">
        <v>291</v>
      </c>
      <c r="B127" s="2" t="s">
        <v>31</v>
      </c>
      <c r="C127" s="2" t="s">
        <v>180</v>
      </c>
      <c r="D127" s="2" t="s">
        <v>42</v>
      </c>
      <c r="E127" s="2" t="s">
        <v>43</v>
      </c>
      <c r="F127" s="2">
        <v>4158.0</v>
      </c>
      <c r="G127" s="2">
        <v>167.0</v>
      </c>
      <c r="H127" s="2">
        <v>241.0</v>
      </c>
      <c r="I127" s="2">
        <v>45738.0</v>
      </c>
      <c r="J127" s="2">
        <v>45183.0</v>
      </c>
      <c r="K127" s="2">
        <v>142.0</v>
      </c>
      <c r="L127" s="2" t="s">
        <v>24</v>
      </c>
      <c r="M127" s="2" t="s">
        <v>25</v>
      </c>
    </row>
    <row r="128" ht="14.25" customHeight="1">
      <c r="A128" s="2" t="s">
        <v>292</v>
      </c>
      <c r="B128" s="2" t="s">
        <v>40</v>
      </c>
      <c r="C128" s="2" t="s">
        <v>219</v>
      </c>
      <c r="D128" s="2" t="s">
        <v>16</v>
      </c>
      <c r="E128" s="2" t="s">
        <v>17</v>
      </c>
      <c r="F128" s="2">
        <v>3452.0</v>
      </c>
      <c r="G128" s="2">
        <v>652.0</v>
      </c>
      <c r="H128" s="2">
        <v>442.0</v>
      </c>
      <c r="I128" s="2">
        <v>65588.0</v>
      </c>
      <c r="J128" s="2">
        <v>65049.0</v>
      </c>
      <c r="K128" s="2">
        <v>158.0</v>
      </c>
      <c r="L128" s="2" t="s">
        <v>82</v>
      </c>
      <c r="M128" s="2" t="s">
        <v>19</v>
      </c>
    </row>
    <row r="129" ht="14.25" customHeight="1">
      <c r="A129" s="2" t="s">
        <v>293</v>
      </c>
      <c r="B129" s="2" t="s">
        <v>14</v>
      </c>
      <c r="C129" s="2" t="s">
        <v>225</v>
      </c>
      <c r="D129" s="2" t="s">
        <v>49</v>
      </c>
      <c r="E129" s="2" t="s">
        <v>50</v>
      </c>
      <c r="F129" s="2">
        <v>3092.0</v>
      </c>
      <c r="G129" s="2">
        <v>106.0</v>
      </c>
      <c r="H129" s="2">
        <v>291.0</v>
      </c>
      <c r="I129" s="2">
        <v>27828.0</v>
      </c>
      <c r="J129" s="2">
        <v>27217.0</v>
      </c>
      <c r="K129" s="2">
        <v>102.0</v>
      </c>
      <c r="L129" s="2" t="s">
        <v>58</v>
      </c>
      <c r="M129" s="2" t="s">
        <v>55</v>
      </c>
    </row>
    <row r="130" ht="14.25" customHeight="1">
      <c r="A130" s="2" t="s">
        <v>294</v>
      </c>
      <c r="B130" s="2" t="s">
        <v>14</v>
      </c>
      <c r="C130" s="2" t="s">
        <v>60</v>
      </c>
      <c r="D130" s="2" t="s">
        <v>22</v>
      </c>
      <c r="E130" s="2" t="s">
        <v>23</v>
      </c>
      <c r="F130" s="2">
        <v>2147.0</v>
      </c>
      <c r="G130" s="2">
        <v>430.0</v>
      </c>
      <c r="H130" s="2">
        <v>393.0</v>
      </c>
      <c r="I130" s="2">
        <v>17176.0</v>
      </c>
      <c r="J130" s="2">
        <v>16483.0</v>
      </c>
      <c r="K130" s="2">
        <v>170.0</v>
      </c>
      <c r="L130" s="2" t="s">
        <v>77</v>
      </c>
      <c r="M130" s="2" t="s">
        <v>55</v>
      </c>
    </row>
    <row r="131" ht="14.25" customHeight="1">
      <c r="A131" s="2" t="s">
        <v>295</v>
      </c>
      <c r="B131" s="2" t="s">
        <v>27</v>
      </c>
      <c r="C131" s="2" t="s">
        <v>296</v>
      </c>
      <c r="D131" s="2" t="s">
        <v>16</v>
      </c>
      <c r="E131" s="2" t="s">
        <v>17</v>
      </c>
      <c r="F131" s="2">
        <v>2936.0</v>
      </c>
      <c r="G131" s="2">
        <v>439.0</v>
      </c>
      <c r="H131" s="2">
        <v>44.0</v>
      </c>
      <c r="I131" s="2">
        <v>38168.0</v>
      </c>
      <c r="J131" s="2">
        <v>37571.0</v>
      </c>
      <c r="K131" s="2">
        <v>22.0</v>
      </c>
      <c r="L131" s="2" t="s">
        <v>18</v>
      </c>
      <c r="M131" s="2" t="s">
        <v>38</v>
      </c>
    </row>
    <row r="132" ht="14.25" customHeight="1">
      <c r="A132" s="2" t="s">
        <v>297</v>
      </c>
      <c r="B132" s="2" t="s">
        <v>31</v>
      </c>
      <c r="C132" s="2" t="s">
        <v>164</v>
      </c>
      <c r="D132" s="2" t="s">
        <v>16</v>
      </c>
      <c r="E132" s="2" t="s">
        <v>17</v>
      </c>
      <c r="F132" s="2">
        <v>4840.0</v>
      </c>
      <c r="G132" s="2">
        <v>658.0</v>
      </c>
      <c r="H132" s="2">
        <v>211.0</v>
      </c>
      <c r="I132" s="2">
        <v>43560.0</v>
      </c>
      <c r="J132" s="2">
        <v>43225.0</v>
      </c>
      <c r="K132" s="2">
        <v>57.0</v>
      </c>
      <c r="L132" s="2" t="s">
        <v>66</v>
      </c>
      <c r="M132" s="2" t="s">
        <v>25</v>
      </c>
    </row>
    <row r="133" ht="14.25" customHeight="1">
      <c r="A133" s="2" t="s">
        <v>298</v>
      </c>
      <c r="B133" s="2" t="s">
        <v>31</v>
      </c>
      <c r="C133" s="2" t="s">
        <v>101</v>
      </c>
      <c r="D133" s="2" t="s">
        <v>33</v>
      </c>
      <c r="E133" s="2" t="s">
        <v>34</v>
      </c>
      <c r="F133" s="2">
        <v>1947.0</v>
      </c>
      <c r="G133" s="2">
        <v>842.0</v>
      </c>
      <c r="H133" s="2">
        <v>101.0</v>
      </c>
      <c r="I133" s="2">
        <v>21417.0</v>
      </c>
      <c r="J133" s="2">
        <v>20967.0</v>
      </c>
      <c r="K133" s="2">
        <v>186.0</v>
      </c>
      <c r="L133" s="2" t="s">
        <v>24</v>
      </c>
      <c r="M133" s="2" t="s">
        <v>25</v>
      </c>
    </row>
    <row r="134" ht="14.25" customHeight="1">
      <c r="A134" s="2" t="s">
        <v>299</v>
      </c>
      <c r="B134" s="2" t="s">
        <v>40</v>
      </c>
      <c r="C134" s="2" t="s">
        <v>300</v>
      </c>
      <c r="D134" s="2" t="s">
        <v>49</v>
      </c>
      <c r="E134" s="2" t="s">
        <v>50</v>
      </c>
      <c r="F134" s="2">
        <v>2072.0</v>
      </c>
      <c r="G134" s="2">
        <v>532.0</v>
      </c>
      <c r="H134" s="2">
        <v>71.0</v>
      </c>
      <c r="I134" s="2">
        <v>37296.0</v>
      </c>
      <c r="J134" s="2">
        <v>36467.0</v>
      </c>
      <c r="K134" s="2">
        <v>25.0</v>
      </c>
      <c r="L134" s="2" t="s">
        <v>18</v>
      </c>
      <c r="M134" s="2" t="s">
        <v>38</v>
      </c>
    </row>
    <row r="135" ht="14.25" customHeight="1">
      <c r="A135" s="2" t="s">
        <v>301</v>
      </c>
      <c r="B135" s="2" t="s">
        <v>14</v>
      </c>
      <c r="C135" s="2" t="s">
        <v>302</v>
      </c>
      <c r="D135" s="2" t="s">
        <v>16</v>
      </c>
      <c r="E135" s="2" t="s">
        <v>17</v>
      </c>
      <c r="F135" s="2">
        <v>3731.0</v>
      </c>
      <c r="G135" s="2">
        <v>115.0</v>
      </c>
      <c r="H135" s="2">
        <v>135.0</v>
      </c>
      <c r="I135" s="2">
        <v>55965.0</v>
      </c>
      <c r="J135" s="2">
        <v>55436.0</v>
      </c>
      <c r="K135" s="2">
        <v>103.0</v>
      </c>
      <c r="L135" s="2" t="s">
        <v>77</v>
      </c>
      <c r="M135" s="2" t="s">
        <v>55</v>
      </c>
    </row>
    <row r="136" ht="14.25" customHeight="1">
      <c r="A136" s="2" t="s">
        <v>303</v>
      </c>
      <c r="B136" s="2" t="s">
        <v>40</v>
      </c>
      <c r="C136" s="2" t="s">
        <v>304</v>
      </c>
      <c r="D136" s="2" t="s">
        <v>22</v>
      </c>
      <c r="E136" s="2" t="s">
        <v>23</v>
      </c>
      <c r="F136" s="2">
        <v>4213.0</v>
      </c>
      <c r="G136" s="2">
        <v>253.0</v>
      </c>
      <c r="H136" s="2">
        <v>434.0</v>
      </c>
      <c r="I136" s="2">
        <v>75834.0</v>
      </c>
      <c r="J136" s="2">
        <v>75437.0</v>
      </c>
      <c r="K136" s="2">
        <v>272.0</v>
      </c>
      <c r="L136" s="2" t="s">
        <v>44</v>
      </c>
      <c r="M136" s="2" t="s">
        <v>38</v>
      </c>
    </row>
    <row r="137" ht="14.25" customHeight="1">
      <c r="A137" s="2" t="s">
        <v>305</v>
      </c>
      <c r="B137" s="2" t="s">
        <v>31</v>
      </c>
      <c r="C137" s="2" t="s">
        <v>306</v>
      </c>
      <c r="D137" s="2" t="s">
        <v>22</v>
      </c>
      <c r="E137" s="2" t="s">
        <v>23</v>
      </c>
      <c r="F137" s="2">
        <v>3134.0</v>
      </c>
      <c r="G137" s="2">
        <v>888.0</v>
      </c>
      <c r="H137" s="2">
        <v>444.0</v>
      </c>
      <c r="I137" s="2">
        <v>21938.0</v>
      </c>
      <c r="J137" s="2">
        <v>21337.0</v>
      </c>
      <c r="K137" s="2">
        <v>130.0</v>
      </c>
      <c r="L137" s="2" t="s">
        <v>66</v>
      </c>
      <c r="M137" s="2" t="s">
        <v>55</v>
      </c>
    </row>
    <row r="138" ht="14.25" customHeight="1">
      <c r="A138" s="2" t="s">
        <v>307</v>
      </c>
      <c r="B138" s="2" t="s">
        <v>40</v>
      </c>
      <c r="C138" s="2" t="s">
        <v>111</v>
      </c>
      <c r="D138" s="2" t="s">
        <v>69</v>
      </c>
      <c r="E138" s="2" t="s">
        <v>70</v>
      </c>
      <c r="F138" s="2">
        <v>3008.0</v>
      </c>
      <c r="G138" s="2">
        <v>94.0</v>
      </c>
      <c r="H138" s="2">
        <v>37.0</v>
      </c>
      <c r="I138" s="2">
        <v>15040.0</v>
      </c>
      <c r="J138" s="2">
        <v>14639.0</v>
      </c>
      <c r="K138" s="2">
        <v>277.0</v>
      </c>
      <c r="L138" s="2" t="s">
        <v>77</v>
      </c>
      <c r="M138" s="2" t="s">
        <v>19</v>
      </c>
    </row>
    <row r="139" ht="14.25" customHeight="1">
      <c r="A139" s="2" t="s">
        <v>308</v>
      </c>
      <c r="B139" s="2" t="s">
        <v>14</v>
      </c>
      <c r="C139" s="2" t="s">
        <v>184</v>
      </c>
      <c r="D139" s="2" t="s">
        <v>49</v>
      </c>
      <c r="E139" s="2" t="s">
        <v>50</v>
      </c>
      <c r="F139" s="2">
        <v>305.0</v>
      </c>
      <c r="G139" s="2">
        <v>187.0</v>
      </c>
      <c r="H139" s="2">
        <v>243.0</v>
      </c>
      <c r="I139" s="2">
        <v>4575.0</v>
      </c>
      <c r="J139" s="2">
        <v>3704.0</v>
      </c>
      <c r="K139" s="2">
        <v>234.0</v>
      </c>
      <c r="L139" s="2" t="s">
        <v>285</v>
      </c>
      <c r="M139" s="2" t="s">
        <v>55</v>
      </c>
    </row>
    <row r="140" ht="14.25" customHeight="1">
      <c r="A140" s="2" t="s">
        <v>309</v>
      </c>
      <c r="B140" s="2" t="s">
        <v>27</v>
      </c>
      <c r="C140" s="2" t="s">
        <v>310</v>
      </c>
      <c r="D140" s="2" t="s">
        <v>22</v>
      </c>
      <c r="E140" s="2" t="s">
        <v>23</v>
      </c>
      <c r="F140" s="2">
        <v>2746.0</v>
      </c>
      <c r="G140" s="2">
        <v>156.0</v>
      </c>
      <c r="H140" s="2">
        <v>203.0</v>
      </c>
      <c r="I140" s="2">
        <v>32952.0</v>
      </c>
      <c r="J140" s="2">
        <v>32147.0</v>
      </c>
      <c r="K140" s="2">
        <v>147.0</v>
      </c>
      <c r="L140" s="2" t="s">
        <v>146</v>
      </c>
      <c r="M140" s="2" t="s">
        <v>25</v>
      </c>
    </row>
    <row r="141" ht="14.25" customHeight="1">
      <c r="A141" s="2" t="s">
        <v>311</v>
      </c>
      <c r="B141" s="2" t="s">
        <v>40</v>
      </c>
      <c r="C141" s="2" t="s">
        <v>312</v>
      </c>
      <c r="D141" s="2" t="s">
        <v>49</v>
      </c>
      <c r="E141" s="2" t="s">
        <v>50</v>
      </c>
      <c r="F141" s="2">
        <v>2291.0</v>
      </c>
      <c r="G141" s="2">
        <v>78.0</v>
      </c>
      <c r="H141" s="2">
        <v>485.0</v>
      </c>
      <c r="I141" s="2">
        <v>18328.0</v>
      </c>
      <c r="J141" s="2">
        <v>18101.0</v>
      </c>
      <c r="K141" s="2">
        <v>10.0</v>
      </c>
      <c r="L141" s="2" t="s">
        <v>77</v>
      </c>
      <c r="M141" s="2" t="s">
        <v>19</v>
      </c>
    </row>
    <row r="142" ht="14.25" customHeight="1">
      <c r="A142" s="2" t="s">
        <v>313</v>
      </c>
      <c r="B142" s="2" t="s">
        <v>14</v>
      </c>
      <c r="C142" s="2" t="s">
        <v>314</v>
      </c>
      <c r="D142" s="2" t="s">
        <v>49</v>
      </c>
      <c r="E142" s="2" t="s">
        <v>50</v>
      </c>
      <c r="F142" s="2">
        <v>3170.0</v>
      </c>
      <c r="G142" s="2">
        <v>857.0</v>
      </c>
      <c r="H142" s="2">
        <v>379.0</v>
      </c>
      <c r="I142" s="2">
        <v>19020.0</v>
      </c>
      <c r="J142" s="2">
        <v>18559.0</v>
      </c>
      <c r="K142" s="2">
        <v>240.0</v>
      </c>
      <c r="L142" s="2" t="s">
        <v>18</v>
      </c>
      <c r="M142" s="2" t="s">
        <v>38</v>
      </c>
    </row>
    <row r="143" ht="14.25" customHeight="1">
      <c r="A143" s="2" t="s">
        <v>315</v>
      </c>
      <c r="B143" s="2" t="s">
        <v>27</v>
      </c>
      <c r="C143" s="2" t="s">
        <v>259</v>
      </c>
      <c r="D143" s="2" t="s">
        <v>33</v>
      </c>
      <c r="E143" s="2" t="s">
        <v>34</v>
      </c>
      <c r="F143" s="2">
        <v>2070.0</v>
      </c>
      <c r="G143" s="2">
        <v>275.0</v>
      </c>
      <c r="H143" s="2">
        <v>386.0</v>
      </c>
      <c r="I143" s="2">
        <v>39330.0</v>
      </c>
      <c r="J143" s="2">
        <v>38627.0</v>
      </c>
      <c r="K143" s="2">
        <v>114.0</v>
      </c>
      <c r="L143" s="2" t="s">
        <v>18</v>
      </c>
      <c r="M143" s="2" t="s">
        <v>55</v>
      </c>
    </row>
    <row r="144" ht="14.25" customHeight="1">
      <c r="A144" s="2" t="s">
        <v>316</v>
      </c>
      <c r="B144" s="2" t="s">
        <v>27</v>
      </c>
      <c r="C144" s="2" t="s">
        <v>270</v>
      </c>
      <c r="D144" s="2" t="s">
        <v>42</v>
      </c>
      <c r="E144" s="2" t="s">
        <v>43</v>
      </c>
      <c r="F144" s="2">
        <v>80.0</v>
      </c>
      <c r="G144" s="2">
        <v>362.0</v>
      </c>
      <c r="H144" s="2">
        <v>80.0</v>
      </c>
      <c r="I144" s="2">
        <v>1040.0</v>
      </c>
      <c r="J144" s="2">
        <v>349.0</v>
      </c>
      <c r="K144" s="2">
        <v>117.0</v>
      </c>
      <c r="L144" s="2" t="s">
        <v>146</v>
      </c>
      <c r="M144" s="2" t="s">
        <v>25</v>
      </c>
    </row>
    <row r="145" ht="14.25" customHeight="1">
      <c r="A145" s="2" t="s">
        <v>317</v>
      </c>
      <c r="B145" s="2" t="s">
        <v>27</v>
      </c>
      <c r="C145" s="2" t="s">
        <v>197</v>
      </c>
      <c r="D145" s="2" t="s">
        <v>33</v>
      </c>
      <c r="E145" s="2" t="s">
        <v>34</v>
      </c>
      <c r="F145" s="2">
        <v>4929.0</v>
      </c>
      <c r="G145" s="2">
        <v>749.0</v>
      </c>
      <c r="H145" s="2">
        <v>452.0</v>
      </c>
      <c r="I145" s="2">
        <v>93651.0</v>
      </c>
      <c r="J145" s="2">
        <v>92810.0</v>
      </c>
      <c r="K145" s="2">
        <v>66.0</v>
      </c>
      <c r="L145" s="2" t="s">
        <v>214</v>
      </c>
      <c r="M145" s="2" t="s">
        <v>19</v>
      </c>
    </row>
    <row r="146" ht="14.25" customHeight="1">
      <c r="A146" s="2" t="s">
        <v>318</v>
      </c>
      <c r="B146" s="2" t="s">
        <v>31</v>
      </c>
      <c r="C146" s="2" t="s">
        <v>32</v>
      </c>
      <c r="D146" s="2" t="s">
        <v>42</v>
      </c>
      <c r="E146" s="2" t="s">
        <v>43</v>
      </c>
      <c r="F146" s="2">
        <v>1878.0</v>
      </c>
      <c r="G146" s="2">
        <v>62.0</v>
      </c>
      <c r="H146" s="2">
        <v>179.0</v>
      </c>
      <c r="I146" s="2">
        <v>37560.0</v>
      </c>
      <c r="J146" s="2">
        <v>36874.0</v>
      </c>
      <c r="K146" s="2">
        <v>142.0</v>
      </c>
      <c r="L146" s="2" t="s">
        <v>178</v>
      </c>
      <c r="M146" s="2" t="s">
        <v>19</v>
      </c>
    </row>
    <row r="147" ht="14.25" customHeight="1">
      <c r="A147" s="2" t="s">
        <v>319</v>
      </c>
      <c r="B147" s="2" t="s">
        <v>27</v>
      </c>
      <c r="C147" s="2" t="s">
        <v>320</v>
      </c>
      <c r="D147" s="2" t="s">
        <v>16</v>
      </c>
      <c r="E147" s="2" t="s">
        <v>17</v>
      </c>
      <c r="F147" s="2">
        <v>3065.0</v>
      </c>
      <c r="G147" s="2">
        <v>772.0</v>
      </c>
      <c r="H147" s="2">
        <v>142.0</v>
      </c>
      <c r="I147" s="2">
        <v>18390.0</v>
      </c>
      <c r="J147" s="2">
        <v>17875.0</v>
      </c>
      <c r="K147" s="2">
        <v>200.0</v>
      </c>
      <c r="L147" s="2" t="s">
        <v>58</v>
      </c>
      <c r="M147" s="2" t="s">
        <v>19</v>
      </c>
    </row>
    <row r="148" ht="14.25" customHeight="1">
      <c r="A148" s="2" t="s">
        <v>321</v>
      </c>
      <c r="B148" s="2" t="s">
        <v>31</v>
      </c>
      <c r="C148" s="2" t="s">
        <v>164</v>
      </c>
      <c r="D148" s="2" t="s">
        <v>16</v>
      </c>
      <c r="E148" s="2" t="s">
        <v>17</v>
      </c>
      <c r="F148" s="2">
        <v>3256.0</v>
      </c>
      <c r="G148" s="2">
        <v>459.0</v>
      </c>
      <c r="H148" s="2">
        <v>266.0</v>
      </c>
      <c r="I148" s="2">
        <v>26048.0</v>
      </c>
      <c r="J148" s="2">
        <v>25529.0</v>
      </c>
      <c r="K148" s="2">
        <v>143.0</v>
      </c>
      <c r="L148" s="2" t="s">
        <v>82</v>
      </c>
      <c r="M148" s="2" t="s">
        <v>38</v>
      </c>
    </row>
    <row r="149" ht="14.25" customHeight="1">
      <c r="A149" s="2" t="s">
        <v>322</v>
      </c>
      <c r="B149" s="2" t="s">
        <v>31</v>
      </c>
      <c r="C149" s="2" t="s">
        <v>166</v>
      </c>
      <c r="D149" s="2" t="s">
        <v>69</v>
      </c>
      <c r="E149" s="2" t="s">
        <v>70</v>
      </c>
      <c r="F149" s="2">
        <v>4133.0</v>
      </c>
      <c r="G149" s="2">
        <v>466.0</v>
      </c>
      <c r="H149" s="2">
        <v>327.0</v>
      </c>
      <c r="I149" s="2">
        <v>24798.0</v>
      </c>
      <c r="J149" s="2">
        <v>24620.0</v>
      </c>
      <c r="K149" s="2">
        <v>176.0</v>
      </c>
      <c r="L149" s="2" t="s">
        <v>58</v>
      </c>
      <c r="M149" s="2" t="s">
        <v>25</v>
      </c>
    </row>
    <row r="150" ht="14.25" customHeight="1">
      <c r="A150" s="2" t="s">
        <v>323</v>
      </c>
      <c r="B150" s="2" t="s">
        <v>14</v>
      </c>
      <c r="C150" s="2" t="s">
        <v>324</v>
      </c>
      <c r="D150" s="2" t="s">
        <v>69</v>
      </c>
      <c r="E150" s="2" t="s">
        <v>70</v>
      </c>
      <c r="F150" s="2">
        <v>1702.0</v>
      </c>
      <c r="G150" s="2">
        <v>750.0</v>
      </c>
      <c r="H150" s="2">
        <v>179.0</v>
      </c>
      <c r="I150" s="2">
        <v>34040.0</v>
      </c>
      <c r="J150" s="2">
        <v>33174.0</v>
      </c>
      <c r="K150" s="2">
        <v>76.0</v>
      </c>
      <c r="L150" s="2" t="s">
        <v>44</v>
      </c>
      <c r="M150" s="2" t="s">
        <v>38</v>
      </c>
    </row>
    <row r="151" ht="14.25" customHeight="1">
      <c r="A151" s="2" t="s">
        <v>325</v>
      </c>
      <c r="B151" s="2" t="s">
        <v>27</v>
      </c>
      <c r="C151" s="2" t="s">
        <v>326</v>
      </c>
      <c r="D151" s="2" t="s">
        <v>42</v>
      </c>
      <c r="E151" s="2" t="s">
        <v>43</v>
      </c>
      <c r="F151" s="2">
        <v>4295.0</v>
      </c>
      <c r="G151" s="2">
        <v>853.0</v>
      </c>
      <c r="H151" s="2">
        <v>325.0</v>
      </c>
      <c r="I151" s="2">
        <v>85900.0</v>
      </c>
      <c r="J151" s="2">
        <v>85788.0</v>
      </c>
      <c r="K151" s="2">
        <v>290.0</v>
      </c>
      <c r="L151" s="2" t="s">
        <v>209</v>
      </c>
      <c r="M151" s="2" t="s">
        <v>25</v>
      </c>
    </row>
    <row r="152" ht="14.25" customHeight="1">
      <c r="A152" s="2" t="s">
        <v>327</v>
      </c>
      <c r="B152" s="2" t="s">
        <v>31</v>
      </c>
      <c r="C152" s="2" t="s">
        <v>182</v>
      </c>
      <c r="D152" s="2" t="s">
        <v>49</v>
      </c>
      <c r="E152" s="2" t="s">
        <v>50</v>
      </c>
      <c r="F152" s="2">
        <v>3559.0</v>
      </c>
      <c r="G152" s="2">
        <v>59.0</v>
      </c>
      <c r="H152" s="2">
        <v>289.0</v>
      </c>
      <c r="I152" s="2">
        <v>35590.0</v>
      </c>
      <c r="J152" s="2">
        <v>35105.0</v>
      </c>
      <c r="K152" s="2">
        <v>122.0</v>
      </c>
      <c r="L152" s="2" t="s">
        <v>214</v>
      </c>
      <c r="M152" s="2" t="s">
        <v>38</v>
      </c>
    </row>
    <row r="153" ht="14.25" customHeight="1">
      <c r="A153" s="2" t="s">
        <v>328</v>
      </c>
      <c r="B153" s="2" t="s">
        <v>40</v>
      </c>
      <c r="C153" s="2" t="s">
        <v>329</v>
      </c>
      <c r="D153" s="2" t="s">
        <v>49</v>
      </c>
      <c r="E153" s="2" t="s">
        <v>50</v>
      </c>
      <c r="F153" s="2">
        <v>4804.0</v>
      </c>
      <c r="G153" s="2">
        <v>550.0</v>
      </c>
      <c r="H153" s="2">
        <v>270.0</v>
      </c>
      <c r="I153" s="2">
        <v>28824.0</v>
      </c>
      <c r="J153" s="2">
        <v>28370.0</v>
      </c>
      <c r="K153" s="2">
        <v>47.0</v>
      </c>
      <c r="L153" s="2" t="s">
        <v>82</v>
      </c>
      <c r="M153" s="2" t="s">
        <v>55</v>
      </c>
    </row>
    <row r="154" ht="14.25" customHeight="1">
      <c r="A154" s="2" t="s">
        <v>330</v>
      </c>
      <c r="B154" s="2" t="s">
        <v>14</v>
      </c>
      <c r="C154" s="2" t="s">
        <v>331</v>
      </c>
      <c r="D154" s="2" t="s">
        <v>69</v>
      </c>
      <c r="E154" s="2" t="s">
        <v>70</v>
      </c>
      <c r="F154" s="2">
        <v>754.0</v>
      </c>
      <c r="G154" s="2">
        <v>197.0</v>
      </c>
      <c r="H154" s="2">
        <v>257.0</v>
      </c>
      <c r="I154" s="2">
        <v>6786.0</v>
      </c>
      <c r="J154" s="2">
        <v>6221.0</v>
      </c>
      <c r="K154" s="2">
        <v>212.0</v>
      </c>
      <c r="L154" s="2" t="s">
        <v>178</v>
      </c>
      <c r="M154" s="2" t="s">
        <v>38</v>
      </c>
    </row>
    <row r="155" ht="14.25" customHeight="1">
      <c r="A155" s="2" t="s">
        <v>332</v>
      </c>
      <c r="B155" s="2" t="s">
        <v>31</v>
      </c>
      <c r="C155" s="2" t="s">
        <v>205</v>
      </c>
      <c r="D155" s="2" t="s">
        <v>42</v>
      </c>
      <c r="E155" s="2" t="s">
        <v>43</v>
      </c>
      <c r="F155" s="2">
        <v>985.0</v>
      </c>
      <c r="G155" s="2">
        <v>932.0</v>
      </c>
      <c r="H155" s="2">
        <v>287.0</v>
      </c>
      <c r="I155" s="2">
        <v>6895.0</v>
      </c>
      <c r="J155" s="2">
        <v>6757.0</v>
      </c>
      <c r="K155" s="2">
        <v>64.0</v>
      </c>
      <c r="L155" s="2" t="s">
        <v>66</v>
      </c>
      <c r="M155" s="2" t="s">
        <v>25</v>
      </c>
    </row>
    <row r="156" ht="14.25" customHeight="1">
      <c r="A156" s="2" t="s">
        <v>333</v>
      </c>
      <c r="B156" s="2" t="s">
        <v>27</v>
      </c>
      <c r="C156" s="2" t="s">
        <v>334</v>
      </c>
      <c r="D156" s="2" t="s">
        <v>49</v>
      </c>
      <c r="E156" s="2" t="s">
        <v>50</v>
      </c>
      <c r="F156" s="2">
        <v>2283.0</v>
      </c>
      <c r="G156" s="2">
        <v>210.0</v>
      </c>
      <c r="H156" s="2">
        <v>130.0</v>
      </c>
      <c r="I156" s="2">
        <v>22830.0</v>
      </c>
      <c r="J156" s="2">
        <v>22617.0</v>
      </c>
      <c r="K156" s="2">
        <v>143.0</v>
      </c>
      <c r="L156" s="2" t="s">
        <v>146</v>
      </c>
      <c r="M156" s="2" t="s">
        <v>38</v>
      </c>
    </row>
    <row r="157" ht="14.25" customHeight="1">
      <c r="A157" s="2" t="s">
        <v>335</v>
      </c>
      <c r="B157" s="2" t="s">
        <v>40</v>
      </c>
      <c r="C157" s="2" t="s">
        <v>336</v>
      </c>
      <c r="D157" s="2" t="s">
        <v>42</v>
      </c>
      <c r="E157" s="2" t="s">
        <v>43</v>
      </c>
      <c r="F157" s="2">
        <v>3352.0</v>
      </c>
      <c r="G157" s="2">
        <v>941.0</v>
      </c>
      <c r="H157" s="2">
        <v>482.0</v>
      </c>
      <c r="I157" s="2">
        <v>43576.0</v>
      </c>
      <c r="J157" s="2">
        <v>43338.0</v>
      </c>
      <c r="K157" s="2">
        <v>240.0</v>
      </c>
      <c r="L157" s="2" t="s">
        <v>44</v>
      </c>
      <c r="M157" s="2" t="s">
        <v>38</v>
      </c>
    </row>
    <row r="158" ht="14.25" customHeight="1">
      <c r="A158" s="2" t="s">
        <v>337</v>
      </c>
      <c r="B158" s="2" t="s">
        <v>27</v>
      </c>
      <c r="C158" s="2" t="s">
        <v>338</v>
      </c>
      <c r="D158" s="2" t="s">
        <v>33</v>
      </c>
      <c r="E158" s="2" t="s">
        <v>34</v>
      </c>
      <c r="F158" s="2">
        <v>4775.0</v>
      </c>
      <c r="G158" s="2">
        <v>173.0</v>
      </c>
      <c r="H158" s="2">
        <v>206.0</v>
      </c>
      <c r="I158" s="2">
        <v>47750.0</v>
      </c>
      <c r="J158" s="2">
        <v>47544.0</v>
      </c>
      <c r="K158" s="2">
        <v>187.0</v>
      </c>
      <c r="L158" s="2" t="s">
        <v>87</v>
      </c>
      <c r="M158" s="2" t="s">
        <v>55</v>
      </c>
    </row>
    <row r="159" ht="14.25" customHeight="1">
      <c r="A159" s="2" t="s">
        <v>339</v>
      </c>
      <c r="B159" s="2" t="s">
        <v>31</v>
      </c>
      <c r="C159" s="2" t="s">
        <v>340</v>
      </c>
      <c r="D159" s="2" t="s">
        <v>33</v>
      </c>
      <c r="E159" s="2" t="s">
        <v>34</v>
      </c>
      <c r="F159" s="2">
        <v>1762.0</v>
      </c>
      <c r="G159" s="2">
        <v>405.0</v>
      </c>
      <c r="H159" s="2">
        <v>423.0</v>
      </c>
      <c r="I159" s="2">
        <v>22906.0</v>
      </c>
      <c r="J159" s="2">
        <v>21925.0</v>
      </c>
      <c r="K159" s="2">
        <v>25.0</v>
      </c>
      <c r="L159" s="2" t="s">
        <v>77</v>
      </c>
      <c r="M159" s="2" t="s">
        <v>25</v>
      </c>
    </row>
    <row r="160" ht="14.25" customHeight="1">
      <c r="A160" s="2" t="s">
        <v>341</v>
      </c>
      <c r="B160" s="2" t="s">
        <v>40</v>
      </c>
      <c r="C160" s="2" t="s">
        <v>126</v>
      </c>
      <c r="D160" s="2" t="s">
        <v>33</v>
      </c>
      <c r="E160" s="2" t="s">
        <v>34</v>
      </c>
      <c r="F160" s="2">
        <v>2120.0</v>
      </c>
      <c r="G160" s="2">
        <v>158.0</v>
      </c>
      <c r="H160" s="2">
        <v>488.0</v>
      </c>
      <c r="I160" s="2">
        <v>12720.0</v>
      </c>
      <c r="J160" s="2">
        <v>12085.0</v>
      </c>
      <c r="K160" s="2">
        <v>17.0</v>
      </c>
      <c r="L160" s="2" t="s">
        <v>87</v>
      </c>
      <c r="M160" s="2" t="s">
        <v>25</v>
      </c>
    </row>
    <row r="161" ht="14.25" customHeight="1">
      <c r="A161" s="2" t="s">
        <v>342</v>
      </c>
      <c r="B161" s="2" t="s">
        <v>14</v>
      </c>
      <c r="C161" s="2" t="s">
        <v>343</v>
      </c>
      <c r="D161" s="2" t="s">
        <v>69</v>
      </c>
      <c r="E161" s="2" t="s">
        <v>70</v>
      </c>
      <c r="F161" s="2">
        <v>1082.0</v>
      </c>
      <c r="G161" s="2">
        <v>209.0</v>
      </c>
      <c r="H161" s="2">
        <v>484.0</v>
      </c>
      <c r="I161" s="2">
        <v>19476.0</v>
      </c>
      <c r="J161" s="2">
        <v>18654.0</v>
      </c>
      <c r="K161" s="2">
        <v>20.0</v>
      </c>
      <c r="L161" s="2" t="s">
        <v>58</v>
      </c>
      <c r="M161" s="2" t="s">
        <v>55</v>
      </c>
    </row>
    <row r="162" ht="14.25" customHeight="1">
      <c r="A162" s="2" t="s">
        <v>344</v>
      </c>
      <c r="B162" s="2" t="s">
        <v>14</v>
      </c>
      <c r="C162" s="2" t="s">
        <v>345</v>
      </c>
      <c r="D162" s="2" t="s">
        <v>22</v>
      </c>
      <c r="E162" s="2" t="s">
        <v>23</v>
      </c>
      <c r="F162" s="2">
        <v>4671.0</v>
      </c>
      <c r="G162" s="2">
        <v>876.0</v>
      </c>
      <c r="H162" s="2">
        <v>366.0</v>
      </c>
      <c r="I162" s="2">
        <v>51381.0</v>
      </c>
      <c r="J162" s="2">
        <v>50565.0</v>
      </c>
      <c r="K162" s="2">
        <v>245.0</v>
      </c>
      <c r="L162" s="2" t="s">
        <v>18</v>
      </c>
      <c r="M162" s="2" t="s">
        <v>25</v>
      </c>
    </row>
    <row r="163" ht="14.25" customHeight="1">
      <c r="A163" s="2" t="s">
        <v>346</v>
      </c>
      <c r="B163" s="2" t="s">
        <v>40</v>
      </c>
      <c r="C163" s="2" t="s">
        <v>347</v>
      </c>
      <c r="D163" s="2" t="s">
        <v>33</v>
      </c>
      <c r="E163" s="2" t="s">
        <v>34</v>
      </c>
      <c r="F163" s="2">
        <v>3430.0</v>
      </c>
      <c r="G163" s="2">
        <v>566.0</v>
      </c>
      <c r="H163" s="2">
        <v>164.0</v>
      </c>
      <c r="I163" s="2">
        <v>48020.0</v>
      </c>
      <c r="J163" s="2">
        <v>47305.0</v>
      </c>
      <c r="K163" s="2">
        <v>120.0</v>
      </c>
      <c r="L163" s="2" t="s">
        <v>44</v>
      </c>
      <c r="M163" s="2" t="s">
        <v>25</v>
      </c>
    </row>
    <row r="164" ht="14.25" customHeight="1">
      <c r="A164" s="2" t="s">
        <v>348</v>
      </c>
      <c r="B164" s="2" t="s">
        <v>31</v>
      </c>
      <c r="C164" s="2" t="s">
        <v>349</v>
      </c>
      <c r="D164" s="2" t="s">
        <v>49</v>
      </c>
      <c r="E164" s="2" t="s">
        <v>50</v>
      </c>
      <c r="F164" s="2">
        <v>4501.0</v>
      </c>
      <c r="G164" s="2">
        <v>375.0</v>
      </c>
      <c r="H164" s="2">
        <v>323.0</v>
      </c>
      <c r="I164" s="2">
        <v>22505.0</v>
      </c>
      <c r="J164" s="2">
        <v>21836.0</v>
      </c>
      <c r="K164" s="2">
        <v>132.0</v>
      </c>
      <c r="L164" s="2" t="s">
        <v>24</v>
      </c>
      <c r="M164" s="2" t="s">
        <v>55</v>
      </c>
    </row>
    <row r="165" ht="14.25" customHeight="1">
      <c r="A165" s="2" t="s">
        <v>350</v>
      </c>
      <c r="B165" s="2" t="s">
        <v>27</v>
      </c>
      <c r="C165" s="2" t="s">
        <v>89</v>
      </c>
      <c r="D165" s="2" t="s">
        <v>22</v>
      </c>
      <c r="E165" s="2" t="s">
        <v>23</v>
      </c>
      <c r="F165" s="2">
        <v>4934.0</v>
      </c>
      <c r="G165" s="2">
        <v>971.0</v>
      </c>
      <c r="H165" s="2">
        <v>156.0</v>
      </c>
      <c r="I165" s="2">
        <v>39472.0</v>
      </c>
      <c r="J165" s="2">
        <v>39025.0</v>
      </c>
      <c r="K165" s="2">
        <v>169.0</v>
      </c>
      <c r="L165" s="2" t="s">
        <v>264</v>
      </c>
      <c r="M165" s="2" t="s">
        <v>25</v>
      </c>
    </row>
    <row r="166" ht="14.25" customHeight="1">
      <c r="A166" s="2" t="s">
        <v>351</v>
      </c>
      <c r="B166" s="2" t="s">
        <v>14</v>
      </c>
      <c r="C166" s="2" t="s">
        <v>232</v>
      </c>
      <c r="D166" s="2" t="s">
        <v>22</v>
      </c>
      <c r="E166" s="2" t="s">
        <v>23</v>
      </c>
      <c r="F166" s="2">
        <v>3239.0</v>
      </c>
      <c r="G166" s="2">
        <v>43.0</v>
      </c>
      <c r="H166" s="2">
        <v>211.0</v>
      </c>
      <c r="I166" s="2">
        <v>22673.0</v>
      </c>
      <c r="J166" s="2">
        <v>22171.0</v>
      </c>
      <c r="K166" s="2">
        <v>230.0</v>
      </c>
      <c r="L166" s="2" t="s">
        <v>214</v>
      </c>
      <c r="M166" s="2" t="s">
        <v>25</v>
      </c>
    </row>
    <row r="167" ht="14.25" customHeight="1">
      <c r="A167" s="2" t="s">
        <v>352</v>
      </c>
      <c r="B167" s="2" t="s">
        <v>14</v>
      </c>
      <c r="C167" s="2" t="s">
        <v>65</v>
      </c>
      <c r="D167" s="2" t="s">
        <v>16</v>
      </c>
      <c r="E167" s="2" t="s">
        <v>17</v>
      </c>
      <c r="F167" s="2">
        <v>1076.0</v>
      </c>
      <c r="G167" s="2">
        <v>313.0</v>
      </c>
      <c r="H167" s="2">
        <v>306.0</v>
      </c>
      <c r="I167" s="2">
        <v>11836.0</v>
      </c>
      <c r="J167" s="2">
        <v>11596.0</v>
      </c>
      <c r="K167" s="2">
        <v>104.0</v>
      </c>
      <c r="L167" s="2" t="s">
        <v>77</v>
      </c>
      <c r="M167" s="2" t="s">
        <v>25</v>
      </c>
    </row>
    <row r="168" ht="14.25" customHeight="1">
      <c r="A168" s="2" t="s">
        <v>353</v>
      </c>
      <c r="B168" s="2" t="s">
        <v>31</v>
      </c>
      <c r="C168" s="2" t="s">
        <v>304</v>
      </c>
      <c r="D168" s="2" t="s">
        <v>22</v>
      </c>
      <c r="E168" s="2" t="s">
        <v>23</v>
      </c>
      <c r="F168" s="2">
        <v>4771.0</v>
      </c>
      <c r="G168" s="2">
        <v>818.0</v>
      </c>
      <c r="H168" s="2">
        <v>56.0</v>
      </c>
      <c r="I168" s="2">
        <v>57252.0</v>
      </c>
      <c r="J168" s="2">
        <v>56378.0</v>
      </c>
      <c r="K168" s="2">
        <v>150.0</v>
      </c>
      <c r="L168" s="2" t="s">
        <v>18</v>
      </c>
      <c r="M168" s="2" t="s">
        <v>25</v>
      </c>
    </row>
    <row r="169" ht="14.25" customHeight="1">
      <c r="A169" s="2" t="s">
        <v>354</v>
      </c>
      <c r="B169" s="2" t="s">
        <v>40</v>
      </c>
      <c r="C169" s="2" t="s">
        <v>355</v>
      </c>
      <c r="D169" s="2" t="s">
        <v>22</v>
      </c>
      <c r="E169" s="2" t="s">
        <v>23</v>
      </c>
      <c r="F169" s="2">
        <v>2418.0</v>
      </c>
      <c r="G169" s="2">
        <v>754.0</v>
      </c>
      <c r="H169" s="2">
        <v>54.0</v>
      </c>
      <c r="I169" s="2">
        <v>43524.0</v>
      </c>
      <c r="J169" s="2">
        <v>42743.0</v>
      </c>
      <c r="K169" s="2">
        <v>182.0</v>
      </c>
      <c r="L169" s="2" t="s">
        <v>285</v>
      </c>
      <c r="M169" s="2" t="s">
        <v>55</v>
      </c>
    </row>
    <row r="170" ht="14.25" customHeight="1">
      <c r="A170" s="2" t="s">
        <v>356</v>
      </c>
      <c r="B170" s="2" t="s">
        <v>27</v>
      </c>
      <c r="C170" s="2" t="s">
        <v>357</v>
      </c>
      <c r="D170" s="2" t="s">
        <v>69</v>
      </c>
      <c r="E170" s="2" t="s">
        <v>70</v>
      </c>
      <c r="F170" s="2">
        <v>3809.0</v>
      </c>
      <c r="G170" s="2">
        <v>273.0</v>
      </c>
      <c r="H170" s="2">
        <v>200.0</v>
      </c>
      <c r="I170" s="2">
        <v>34281.0</v>
      </c>
      <c r="J170" s="2">
        <v>33534.0</v>
      </c>
      <c r="K170" s="2">
        <v>83.0</v>
      </c>
      <c r="L170" s="2" t="s">
        <v>44</v>
      </c>
      <c r="M170" s="2" t="s">
        <v>38</v>
      </c>
    </row>
    <row r="171" ht="14.25" customHeight="1">
      <c r="A171" s="2" t="s">
        <v>358</v>
      </c>
      <c r="B171" s="2" t="s">
        <v>14</v>
      </c>
      <c r="C171" s="2" t="s">
        <v>359</v>
      </c>
      <c r="D171" s="2" t="s">
        <v>22</v>
      </c>
      <c r="E171" s="2" t="s">
        <v>23</v>
      </c>
      <c r="F171" s="2">
        <v>3577.0</v>
      </c>
      <c r="G171" s="2">
        <v>596.0</v>
      </c>
      <c r="H171" s="2">
        <v>493.0</v>
      </c>
      <c r="I171" s="2">
        <v>67963.0</v>
      </c>
      <c r="J171" s="2">
        <v>67839.0</v>
      </c>
      <c r="K171" s="2">
        <v>53.0</v>
      </c>
      <c r="L171" s="2" t="s">
        <v>87</v>
      </c>
      <c r="M171" s="2" t="s">
        <v>55</v>
      </c>
    </row>
    <row r="172" ht="14.25" customHeight="1">
      <c r="A172" s="2" t="s">
        <v>360</v>
      </c>
      <c r="B172" s="2" t="s">
        <v>27</v>
      </c>
      <c r="C172" s="2" t="s">
        <v>361</v>
      </c>
      <c r="D172" s="2" t="s">
        <v>69</v>
      </c>
      <c r="E172" s="2" t="s">
        <v>70</v>
      </c>
      <c r="F172" s="2">
        <v>1018.0</v>
      </c>
      <c r="G172" s="2">
        <v>447.0</v>
      </c>
      <c r="H172" s="2">
        <v>332.0</v>
      </c>
      <c r="I172" s="2">
        <v>18324.0</v>
      </c>
      <c r="J172" s="2">
        <v>18164.0</v>
      </c>
      <c r="K172" s="2">
        <v>38.0</v>
      </c>
      <c r="L172" s="2" t="s">
        <v>66</v>
      </c>
      <c r="M172" s="2" t="s">
        <v>55</v>
      </c>
    </row>
    <row r="173" ht="14.25" customHeight="1">
      <c r="A173" s="2" t="s">
        <v>362</v>
      </c>
      <c r="B173" s="2" t="s">
        <v>40</v>
      </c>
      <c r="C173" s="2" t="s">
        <v>363</v>
      </c>
      <c r="D173" s="2" t="s">
        <v>42</v>
      </c>
      <c r="E173" s="2" t="s">
        <v>43</v>
      </c>
      <c r="F173" s="2">
        <v>3073.0</v>
      </c>
      <c r="G173" s="2">
        <v>553.0</v>
      </c>
      <c r="H173" s="2">
        <v>174.0</v>
      </c>
      <c r="I173" s="2">
        <v>52241.0</v>
      </c>
      <c r="J173" s="2">
        <v>51605.0</v>
      </c>
      <c r="K173" s="2">
        <v>246.0</v>
      </c>
      <c r="L173" s="2" t="s">
        <v>146</v>
      </c>
      <c r="M173" s="2" t="s">
        <v>55</v>
      </c>
    </row>
    <row r="174" ht="14.25" customHeight="1">
      <c r="A174" s="2" t="s">
        <v>364</v>
      </c>
      <c r="B174" s="2" t="s">
        <v>14</v>
      </c>
      <c r="C174" s="2" t="s">
        <v>365</v>
      </c>
      <c r="D174" s="2" t="s">
        <v>69</v>
      </c>
      <c r="E174" s="2" t="s">
        <v>70</v>
      </c>
      <c r="F174" s="2">
        <v>1330.0</v>
      </c>
      <c r="G174" s="2">
        <v>925.0</v>
      </c>
      <c r="H174" s="2">
        <v>35.0</v>
      </c>
      <c r="I174" s="2">
        <v>15960.0</v>
      </c>
      <c r="J174" s="2">
        <v>15379.0</v>
      </c>
      <c r="K174" s="2">
        <v>229.0</v>
      </c>
      <c r="L174" s="2" t="s">
        <v>178</v>
      </c>
      <c r="M174" s="2" t="s">
        <v>55</v>
      </c>
    </row>
    <row r="175" ht="14.25" customHeight="1">
      <c r="A175" s="2" t="s">
        <v>366</v>
      </c>
      <c r="B175" s="2" t="s">
        <v>40</v>
      </c>
      <c r="C175" s="2" t="s">
        <v>168</v>
      </c>
      <c r="D175" s="2" t="s">
        <v>22</v>
      </c>
      <c r="E175" s="2" t="s">
        <v>23</v>
      </c>
      <c r="F175" s="2">
        <v>3828.0</v>
      </c>
      <c r="G175" s="2">
        <v>148.0</v>
      </c>
      <c r="H175" s="2">
        <v>253.0</v>
      </c>
      <c r="I175" s="2">
        <v>30624.0</v>
      </c>
      <c r="J175" s="2">
        <v>30229.0</v>
      </c>
      <c r="K175" s="2">
        <v>235.0</v>
      </c>
      <c r="L175" s="2" t="s">
        <v>82</v>
      </c>
      <c r="M175" s="2" t="s">
        <v>55</v>
      </c>
    </row>
    <row r="176" ht="14.25" customHeight="1">
      <c r="A176" s="2" t="s">
        <v>367</v>
      </c>
      <c r="B176" s="2" t="s">
        <v>31</v>
      </c>
      <c r="C176" s="2" t="s">
        <v>368</v>
      </c>
      <c r="D176" s="2" t="s">
        <v>16</v>
      </c>
      <c r="E176" s="2" t="s">
        <v>17</v>
      </c>
      <c r="F176" s="2">
        <v>142.0</v>
      </c>
      <c r="G176" s="2">
        <v>784.0</v>
      </c>
      <c r="H176" s="2">
        <v>183.0</v>
      </c>
      <c r="I176" s="2">
        <v>1704.0</v>
      </c>
      <c r="J176" s="2">
        <v>995.0</v>
      </c>
      <c r="K176" s="2">
        <v>154.0</v>
      </c>
      <c r="L176" s="2" t="s">
        <v>18</v>
      </c>
      <c r="M176" s="2" t="s">
        <v>19</v>
      </c>
    </row>
    <row r="177" ht="14.25" customHeight="1">
      <c r="A177" s="2" t="s">
        <v>369</v>
      </c>
      <c r="B177" s="2" t="s">
        <v>40</v>
      </c>
      <c r="C177" s="2" t="s">
        <v>370</v>
      </c>
      <c r="D177" s="2" t="s">
        <v>69</v>
      </c>
      <c r="E177" s="2" t="s">
        <v>70</v>
      </c>
      <c r="F177" s="2">
        <v>3798.0</v>
      </c>
      <c r="G177" s="2">
        <v>31.0</v>
      </c>
      <c r="H177" s="2">
        <v>279.0</v>
      </c>
      <c r="I177" s="2">
        <v>75960.0</v>
      </c>
      <c r="J177" s="2">
        <v>75813.0</v>
      </c>
      <c r="K177" s="2">
        <v>266.0</v>
      </c>
      <c r="L177" s="2" t="s">
        <v>24</v>
      </c>
      <c r="M177" s="2" t="s">
        <v>25</v>
      </c>
    </row>
    <row r="178" ht="14.25" customHeight="1">
      <c r="A178" s="2" t="s">
        <v>371</v>
      </c>
      <c r="B178" s="2" t="s">
        <v>31</v>
      </c>
      <c r="C178" s="2" t="s">
        <v>372</v>
      </c>
      <c r="D178" s="2" t="s">
        <v>42</v>
      </c>
      <c r="E178" s="2" t="s">
        <v>43</v>
      </c>
      <c r="F178" s="2">
        <v>3099.0</v>
      </c>
      <c r="G178" s="2">
        <v>694.0</v>
      </c>
      <c r="H178" s="2">
        <v>171.0</v>
      </c>
      <c r="I178" s="2">
        <v>43386.0</v>
      </c>
      <c r="J178" s="2">
        <v>42921.0</v>
      </c>
      <c r="K178" s="2">
        <v>52.0</v>
      </c>
      <c r="L178" s="2" t="s">
        <v>77</v>
      </c>
      <c r="M178" s="2" t="s">
        <v>55</v>
      </c>
    </row>
    <row r="179" ht="14.25" customHeight="1">
      <c r="A179" s="2" t="s">
        <v>373</v>
      </c>
      <c r="B179" s="2" t="s">
        <v>31</v>
      </c>
      <c r="C179" s="2" t="s">
        <v>201</v>
      </c>
      <c r="D179" s="2" t="s">
        <v>69</v>
      </c>
      <c r="E179" s="2" t="s">
        <v>70</v>
      </c>
      <c r="F179" s="2">
        <v>129.0</v>
      </c>
      <c r="G179" s="2">
        <v>643.0</v>
      </c>
      <c r="H179" s="2">
        <v>136.0</v>
      </c>
      <c r="I179" s="2">
        <v>1290.0</v>
      </c>
      <c r="J179" s="2">
        <v>839.0</v>
      </c>
      <c r="K179" s="2">
        <v>238.0</v>
      </c>
      <c r="L179" s="2" t="s">
        <v>162</v>
      </c>
      <c r="M179" s="2" t="s">
        <v>55</v>
      </c>
    </row>
    <row r="180" ht="14.25" customHeight="1">
      <c r="A180" s="2" t="s">
        <v>374</v>
      </c>
      <c r="B180" s="2" t="s">
        <v>40</v>
      </c>
      <c r="C180" s="2" t="s">
        <v>312</v>
      </c>
      <c r="D180" s="2" t="s">
        <v>42</v>
      </c>
      <c r="E180" s="2" t="s">
        <v>43</v>
      </c>
      <c r="F180" s="2">
        <v>3796.0</v>
      </c>
      <c r="G180" s="2">
        <v>667.0</v>
      </c>
      <c r="H180" s="2">
        <v>395.0</v>
      </c>
      <c r="I180" s="2">
        <v>64532.0</v>
      </c>
      <c r="J180" s="2">
        <v>63550.0</v>
      </c>
      <c r="K180" s="2">
        <v>292.0</v>
      </c>
      <c r="L180" s="2" t="s">
        <v>58</v>
      </c>
      <c r="M180" s="2" t="s">
        <v>19</v>
      </c>
    </row>
    <row r="181" ht="14.25" customHeight="1">
      <c r="A181" s="2" t="s">
        <v>375</v>
      </c>
      <c r="B181" s="2" t="s">
        <v>27</v>
      </c>
      <c r="C181" s="2" t="s">
        <v>357</v>
      </c>
      <c r="D181" s="2" t="s">
        <v>22</v>
      </c>
      <c r="E181" s="2" t="s">
        <v>23</v>
      </c>
      <c r="F181" s="2">
        <v>3711.0</v>
      </c>
      <c r="G181" s="2">
        <v>352.0</v>
      </c>
      <c r="H181" s="2">
        <v>290.0</v>
      </c>
      <c r="I181" s="2">
        <v>48243.0</v>
      </c>
      <c r="J181" s="2">
        <v>47579.0</v>
      </c>
      <c r="K181" s="2">
        <v>11.0</v>
      </c>
      <c r="L181" s="2" t="s">
        <v>162</v>
      </c>
      <c r="M181" s="2" t="s">
        <v>55</v>
      </c>
    </row>
    <row r="182" ht="14.25" customHeight="1">
      <c r="A182" s="2" t="s">
        <v>376</v>
      </c>
      <c r="B182" s="2" t="s">
        <v>27</v>
      </c>
      <c r="C182" s="2" t="s">
        <v>377</v>
      </c>
      <c r="D182" s="2" t="s">
        <v>49</v>
      </c>
      <c r="E182" s="2" t="s">
        <v>50</v>
      </c>
      <c r="F182" s="2">
        <v>606.0</v>
      </c>
      <c r="G182" s="2">
        <v>789.0</v>
      </c>
      <c r="H182" s="2">
        <v>470.0</v>
      </c>
      <c r="I182" s="2">
        <v>7878.0</v>
      </c>
      <c r="J182" s="2">
        <v>7389.0</v>
      </c>
      <c r="K182" s="2">
        <v>239.0</v>
      </c>
      <c r="L182" s="2" t="s">
        <v>18</v>
      </c>
      <c r="M182" s="2" t="s">
        <v>25</v>
      </c>
    </row>
    <row r="183" ht="14.25" customHeight="1">
      <c r="A183" s="2" t="s">
        <v>378</v>
      </c>
      <c r="B183" s="2" t="s">
        <v>40</v>
      </c>
      <c r="C183" s="2" t="s">
        <v>111</v>
      </c>
      <c r="D183" s="2" t="s">
        <v>49</v>
      </c>
      <c r="E183" s="2" t="s">
        <v>50</v>
      </c>
      <c r="F183" s="2">
        <v>4689.0</v>
      </c>
      <c r="G183" s="2">
        <v>134.0</v>
      </c>
      <c r="H183" s="2">
        <v>403.0</v>
      </c>
      <c r="I183" s="2">
        <v>51579.0</v>
      </c>
      <c r="J183" s="2">
        <v>50924.0</v>
      </c>
      <c r="K183" s="2">
        <v>173.0</v>
      </c>
      <c r="L183" s="2" t="s">
        <v>77</v>
      </c>
      <c r="M183" s="2" t="s">
        <v>19</v>
      </c>
    </row>
    <row r="184" ht="14.25" customHeight="1">
      <c r="A184" s="2" t="s">
        <v>379</v>
      </c>
      <c r="B184" s="2" t="s">
        <v>31</v>
      </c>
      <c r="C184" s="2" t="s">
        <v>380</v>
      </c>
      <c r="D184" s="2" t="s">
        <v>33</v>
      </c>
      <c r="E184" s="2" t="s">
        <v>34</v>
      </c>
      <c r="F184" s="2">
        <v>360.0</v>
      </c>
      <c r="G184" s="2">
        <v>590.0</v>
      </c>
      <c r="H184" s="2">
        <v>393.0</v>
      </c>
      <c r="I184" s="2">
        <v>4680.0</v>
      </c>
      <c r="J184" s="2">
        <v>4322.0</v>
      </c>
      <c r="K184" s="2">
        <v>208.0</v>
      </c>
      <c r="L184" s="2" t="s">
        <v>162</v>
      </c>
      <c r="M184" s="2" t="s">
        <v>25</v>
      </c>
    </row>
    <row r="185" ht="14.25" customHeight="1">
      <c r="A185" s="2" t="s">
        <v>381</v>
      </c>
      <c r="B185" s="2" t="s">
        <v>14</v>
      </c>
      <c r="C185" s="2" t="s">
        <v>382</v>
      </c>
      <c r="D185" s="2" t="s">
        <v>49</v>
      </c>
      <c r="E185" s="2" t="s">
        <v>50</v>
      </c>
      <c r="F185" s="2">
        <v>3215.0</v>
      </c>
      <c r="G185" s="2">
        <v>960.0</v>
      </c>
      <c r="H185" s="2">
        <v>202.0</v>
      </c>
      <c r="I185" s="2">
        <v>32150.0</v>
      </c>
      <c r="J185" s="2">
        <v>31404.0</v>
      </c>
      <c r="K185" s="2">
        <v>251.0</v>
      </c>
      <c r="L185" s="2" t="s">
        <v>58</v>
      </c>
      <c r="M185" s="2" t="s">
        <v>38</v>
      </c>
    </row>
    <row r="186" ht="14.25" customHeight="1">
      <c r="A186" s="2" t="s">
        <v>383</v>
      </c>
      <c r="B186" s="2" t="s">
        <v>31</v>
      </c>
      <c r="C186" s="2" t="s">
        <v>384</v>
      </c>
      <c r="D186" s="2" t="s">
        <v>42</v>
      </c>
      <c r="E186" s="2" t="s">
        <v>43</v>
      </c>
      <c r="F186" s="2">
        <v>4523.0</v>
      </c>
      <c r="G186" s="2">
        <v>61.0</v>
      </c>
      <c r="H186" s="2">
        <v>157.0</v>
      </c>
      <c r="I186" s="2">
        <v>49753.0</v>
      </c>
      <c r="J186" s="2">
        <v>49329.0</v>
      </c>
      <c r="K186" s="2">
        <v>71.0</v>
      </c>
      <c r="L186" s="2" t="s">
        <v>102</v>
      </c>
      <c r="M186" s="2" t="s">
        <v>55</v>
      </c>
    </row>
    <row r="187" ht="14.25" customHeight="1">
      <c r="A187" s="2" t="s">
        <v>385</v>
      </c>
      <c r="B187" s="2" t="s">
        <v>40</v>
      </c>
      <c r="C187" s="2" t="s">
        <v>343</v>
      </c>
      <c r="D187" s="2" t="s">
        <v>42</v>
      </c>
      <c r="E187" s="2" t="s">
        <v>43</v>
      </c>
      <c r="F187" s="2">
        <v>4292.0</v>
      </c>
      <c r="G187" s="2">
        <v>51.0</v>
      </c>
      <c r="H187" s="2">
        <v>392.0</v>
      </c>
      <c r="I187" s="2">
        <v>55796.0</v>
      </c>
      <c r="J187" s="2">
        <v>54826.0</v>
      </c>
      <c r="K187" s="2">
        <v>264.0</v>
      </c>
      <c r="L187" s="2" t="s">
        <v>214</v>
      </c>
      <c r="M187" s="2" t="s">
        <v>19</v>
      </c>
    </row>
    <row r="188" ht="14.25" customHeight="1">
      <c r="A188" s="2" t="s">
        <v>386</v>
      </c>
      <c r="B188" s="2" t="s">
        <v>14</v>
      </c>
      <c r="C188" s="2" t="s">
        <v>387</v>
      </c>
      <c r="D188" s="2" t="s">
        <v>16</v>
      </c>
      <c r="E188" s="2" t="s">
        <v>17</v>
      </c>
      <c r="F188" s="2">
        <v>1644.0</v>
      </c>
      <c r="G188" s="2">
        <v>546.0</v>
      </c>
      <c r="H188" s="2">
        <v>150.0</v>
      </c>
      <c r="I188" s="2">
        <v>27948.0</v>
      </c>
      <c r="J188" s="2">
        <v>27184.0</v>
      </c>
      <c r="K188" s="2">
        <v>300.0</v>
      </c>
      <c r="L188" s="2" t="s">
        <v>102</v>
      </c>
      <c r="M188" s="2" t="s">
        <v>19</v>
      </c>
    </row>
    <row r="189" ht="14.25" customHeight="1">
      <c r="A189" s="2" t="s">
        <v>388</v>
      </c>
      <c r="B189" s="2" t="s">
        <v>27</v>
      </c>
      <c r="C189" s="2" t="s">
        <v>221</v>
      </c>
      <c r="D189" s="2" t="s">
        <v>16</v>
      </c>
      <c r="E189" s="2" t="s">
        <v>17</v>
      </c>
      <c r="F189" s="2">
        <v>2728.0</v>
      </c>
      <c r="G189" s="2">
        <v>533.0</v>
      </c>
      <c r="H189" s="2">
        <v>215.0</v>
      </c>
      <c r="I189" s="2">
        <v>40920.0</v>
      </c>
      <c r="J189" s="2">
        <v>40816.0</v>
      </c>
      <c r="K189" s="2">
        <v>137.0</v>
      </c>
      <c r="L189" s="2" t="s">
        <v>18</v>
      </c>
      <c r="M189" s="2" t="s">
        <v>25</v>
      </c>
    </row>
    <row r="190" ht="14.25" customHeight="1">
      <c r="A190" s="2" t="s">
        <v>389</v>
      </c>
      <c r="B190" s="2" t="s">
        <v>40</v>
      </c>
      <c r="C190" s="2" t="s">
        <v>229</v>
      </c>
      <c r="D190" s="2" t="s">
        <v>16</v>
      </c>
      <c r="E190" s="2" t="s">
        <v>17</v>
      </c>
      <c r="F190" s="2">
        <v>3360.0</v>
      </c>
      <c r="G190" s="2">
        <v>525.0</v>
      </c>
      <c r="H190" s="2">
        <v>500.0</v>
      </c>
      <c r="I190" s="2">
        <v>60480.0</v>
      </c>
      <c r="J190" s="2">
        <v>59610.0</v>
      </c>
      <c r="K190" s="2">
        <v>192.0</v>
      </c>
      <c r="L190" s="2" t="s">
        <v>82</v>
      </c>
      <c r="M190" s="2" t="s">
        <v>19</v>
      </c>
    </row>
    <row r="191" ht="14.25" customHeight="1">
      <c r="A191" s="2" t="s">
        <v>390</v>
      </c>
      <c r="B191" s="2" t="s">
        <v>27</v>
      </c>
      <c r="C191" s="2" t="s">
        <v>391</v>
      </c>
      <c r="D191" s="2" t="s">
        <v>22</v>
      </c>
      <c r="E191" s="2" t="s">
        <v>23</v>
      </c>
      <c r="F191" s="2">
        <v>1963.0</v>
      </c>
      <c r="G191" s="2">
        <v>213.0</v>
      </c>
      <c r="H191" s="2">
        <v>19.0</v>
      </c>
      <c r="I191" s="2">
        <v>39260.0</v>
      </c>
      <c r="J191" s="2">
        <v>38771.0</v>
      </c>
      <c r="K191" s="2">
        <v>145.0</v>
      </c>
      <c r="L191" s="2" t="s">
        <v>58</v>
      </c>
      <c r="M191" s="2" t="s">
        <v>19</v>
      </c>
    </row>
    <row r="192" ht="14.25" customHeight="1">
      <c r="A192" s="2" t="s">
        <v>392</v>
      </c>
      <c r="B192" s="2" t="s">
        <v>27</v>
      </c>
      <c r="C192" s="2" t="s">
        <v>357</v>
      </c>
      <c r="D192" s="2" t="s">
        <v>33</v>
      </c>
      <c r="E192" s="2" t="s">
        <v>34</v>
      </c>
      <c r="F192" s="2">
        <v>4285.0</v>
      </c>
      <c r="G192" s="2">
        <v>886.0</v>
      </c>
      <c r="H192" s="2">
        <v>376.0</v>
      </c>
      <c r="I192" s="2">
        <v>55705.0</v>
      </c>
      <c r="J192" s="2">
        <v>55556.0</v>
      </c>
      <c r="K192" s="2">
        <v>51.0</v>
      </c>
      <c r="L192" s="2" t="s">
        <v>71</v>
      </c>
      <c r="M192" s="2" t="s">
        <v>55</v>
      </c>
    </row>
    <row r="193" ht="14.25" customHeight="1">
      <c r="A193" s="2" t="s">
        <v>393</v>
      </c>
      <c r="B193" s="2" t="s">
        <v>31</v>
      </c>
      <c r="C193" s="2" t="s">
        <v>394</v>
      </c>
      <c r="D193" s="2" t="s">
        <v>69</v>
      </c>
      <c r="E193" s="2" t="s">
        <v>70</v>
      </c>
      <c r="F193" s="2">
        <v>1176.0</v>
      </c>
      <c r="G193" s="2">
        <v>464.0</v>
      </c>
      <c r="H193" s="2">
        <v>394.0</v>
      </c>
      <c r="I193" s="2">
        <v>14112.0</v>
      </c>
      <c r="J193" s="2">
        <v>13588.0</v>
      </c>
      <c r="K193" s="2">
        <v>272.0</v>
      </c>
      <c r="L193" s="2" t="s">
        <v>77</v>
      </c>
      <c r="M193" s="2" t="s">
        <v>19</v>
      </c>
    </row>
    <row r="194" ht="14.25" customHeight="1">
      <c r="A194" s="2" t="s">
        <v>395</v>
      </c>
      <c r="B194" s="2" t="s">
        <v>14</v>
      </c>
      <c r="C194" s="2" t="s">
        <v>396</v>
      </c>
      <c r="D194" s="2" t="s">
        <v>49</v>
      </c>
      <c r="E194" s="2" t="s">
        <v>50</v>
      </c>
      <c r="F194" s="2">
        <v>4858.0</v>
      </c>
      <c r="G194" s="2">
        <v>317.0</v>
      </c>
      <c r="H194" s="2">
        <v>129.0</v>
      </c>
      <c r="I194" s="2">
        <v>53438.0</v>
      </c>
      <c r="J194" s="2">
        <v>52687.0</v>
      </c>
      <c r="K194" s="2">
        <v>223.0</v>
      </c>
      <c r="L194" s="2" t="s">
        <v>178</v>
      </c>
      <c r="M194" s="2" t="s">
        <v>19</v>
      </c>
    </row>
    <row r="195" ht="14.25" customHeight="1">
      <c r="A195" s="2" t="s">
        <v>397</v>
      </c>
      <c r="B195" s="2" t="s">
        <v>27</v>
      </c>
      <c r="C195" s="2" t="s">
        <v>270</v>
      </c>
      <c r="D195" s="2" t="s">
        <v>33</v>
      </c>
      <c r="E195" s="2" t="s">
        <v>34</v>
      </c>
      <c r="F195" s="2">
        <v>4350.0</v>
      </c>
      <c r="G195" s="2">
        <v>771.0</v>
      </c>
      <c r="H195" s="2">
        <v>7.0</v>
      </c>
      <c r="I195" s="2">
        <v>60900.0</v>
      </c>
      <c r="J195" s="2">
        <v>60592.0</v>
      </c>
      <c r="K195" s="2">
        <v>195.0</v>
      </c>
      <c r="L195" s="2" t="s">
        <v>264</v>
      </c>
      <c r="M195" s="2" t="s">
        <v>25</v>
      </c>
    </row>
    <row r="196" ht="14.25" customHeight="1">
      <c r="A196" s="2" t="s">
        <v>398</v>
      </c>
      <c r="B196" s="2" t="s">
        <v>31</v>
      </c>
      <c r="C196" s="2" t="s">
        <v>399</v>
      </c>
      <c r="D196" s="2" t="s">
        <v>42</v>
      </c>
      <c r="E196" s="2" t="s">
        <v>43</v>
      </c>
      <c r="F196" s="2">
        <v>914.0</v>
      </c>
      <c r="G196" s="2">
        <v>464.0</v>
      </c>
      <c r="H196" s="2">
        <v>246.0</v>
      </c>
      <c r="I196" s="2">
        <v>11882.0</v>
      </c>
      <c r="J196" s="2">
        <v>11500.0</v>
      </c>
      <c r="K196" s="2">
        <v>282.0</v>
      </c>
      <c r="L196" s="2" t="s">
        <v>285</v>
      </c>
      <c r="M196" s="2" t="s">
        <v>38</v>
      </c>
    </row>
    <row r="197" ht="14.25" customHeight="1">
      <c r="A197" s="2" t="s">
        <v>400</v>
      </c>
      <c r="B197" s="2" t="s">
        <v>31</v>
      </c>
      <c r="C197" s="2" t="s">
        <v>401</v>
      </c>
      <c r="D197" s="2" t="s">
        <v>22</v>
      </c>
      <c r="E197" s="2" t="s">
        <v>23</v>
      </c>
      <c r="F197" s="2">
        <v>1813.0</v>
      </c>
      <c r="G197" s="2">
        <v>623.0</v>
      </c>
      <c r="H197" s="2">
        <v>72.0</v>
      </c>
      <c r="I197" s="2">
        <v>19943.0</v>
      </c>
      <c r="J197" s="2">
        <v>18959.0</v>
      </c>
      <c r="K197" s="2">
        <v>85.0</v>
      </c>
      <c r="L197" s="2" t="s">
        <v>105</v>
      </c>
      <c r="M197" s="2" t="s">
        <v>38</v>
      </c>
    </row>
    <row r="198" ht="14.25" customHeight="1">
      <c r="A198" s="2" t="s">
        <v>402</v>
      </c>
      <c r="B198" s="2" t="s">
        <v>14</v>
      </c>
      <c r="C198" s="2" t="s">
        <v>336</v>
      </c>
      <c r="D198" s="2" t="s">
        <v>16</v>
      </c>
      <c r="E198" s="2" t="s">
        <v>17</v>
      </c>
      <c r="F198" s="2">
        <v>4782.0</v>
      </c>
      <c r="G198" s="2">
        <v>721.0</v>
      </c>
      <c r="H198" s="2">
        <v>82.0</v>
      </c>
      <c r="I198" s="2">
        <v>86076.0</v>
      </c>
      <c r="J198" s="2">
        <v>85339.0</v>
      </c>
      <c r="K198" s="2">
        <v>19.0</v>
      </c>
      <c r="L198" s="2" t="s">
        <v>77</v>
      </c>
      <c r="M198" s="2" t="s">
        <v>25</v>
      </c>
    </row>
    <row r="199" ht="14.25" customHeight="1">
      <c r="A199" s="2" t="s">
        <v>403</v>
      </c>
      <c r="B199" s="2" t="s">
        <v>14</v>
      </c>
      <c r="C199" s="2" t="s">
        <v>404</v>
      </c>
      <c r="D199" s="2" t="s">
        <v>49</v>
      </c>
      <c r="E199" s="2" t="s">
        <v>50</v>
      </c>
      <c r="F199" s="2">
        <v>1048.0</v>
      </c>
      <c r="G199" s="2">
        <v>374.0</v>
      </c>
      <c r="H199" s="2">
        <v>450.0</v>
      </c>
      <c r="I199" s="2">
        <v>9432.0</v>
      </c>
      <c r="J199" s="2">
        <v>8882.0</v>
      </c>
      <c r="K199" s="2">
        <v>158.0</v>
      </c>
      <c r="L199" s="2" t="s">
        <v>209</v>
      </c>
      <c r="M199" s="2" t="s">
        <v>25</v>
      </c>
    </row>
    <row r="200" ht="14.25" customHeight="1">
      <c r="A200" s="2" t="s">
        <v>405</v>
      </c>
      <c r="B200" s="2" t="s">
        <v>27</v>
      </c>
      <c r="C200" s="2" t="s">
        <v>118</v>
      </c>
      <c r="D200" s="2" t="s">
        <v>42</v>
      </c>
      <c r="E200" s="2" t="s">
        <v>43</v>
      </c>
      <c r="F200" s="2">
        <v>2509.0</v>
      </c>
      <c r="G200" s="2">
        <v>324.0</v>
      </c>
      <c r="H200" s="2">
        <v>171.0</v>
      </c>
      <c r="I200" s="2">
        <v>35126.0</v>
      </c>
      <c r="J200" s="2">
        <v>34685.0</v>
      </c>
      <c r="K200" s="2">
        <v>277.0</v>
      </c>
      <c r="L200" s="2" t="s">
        <v>77</v>
      </c>
      <c r="M200" s="2" t="s">
        <v>25</v>
      </c>
    </row>
    <row r="201" ht="14.25" customHeight="1">
      <c r="A201" s="2" t="s">
        <v>406</v>
      </c>
      <c r="B201" s="2" t="s">
        <v>40</v>
      </c>
      <c r="C201" s="2" t="s">
        <v>407</v>
      </c>
      <c r="D201" s="2" t="s">
        <v>16</v>
      </c>
      <c r="E201" s="2" t="s">
        <v>17</v>
      </c>
      <c r="F201" s="2">
        <v>3718.0</v>
      </c>
      <c r="G201" s="2">
        <v>385.0</v>
      </c>
      <c r="H201" s="2">
        <v>310.0</v>
      </c>
      <c r="I201" s="2">
        <v>70642.0</v>
      </c>
      <c r="J201" s="2">
        <v>69749.0</v>
      </c>
      <c r="K201" s="2">
        <v>233.0</v>
      </c>
      <c r="L201" s="2" t="s">
        <v>44</v>
      </c>
      <c r="M201" s="2" t="s">
        <v>19</v>
      </c>
    </row>
    <row r="202" ht="14.25" customHeight="1">
      <c r="A202" s="2" t="s">
        <v>408</v>
      </c>
      <c r="B202" s="2" t="s">
        <v>14</v>
      </c>
      <c r="C202" s="2" t="s">
        <v>409</v>
      </c>
      <c r="D202" s="2" t="s">
        <v>16</v>
      </c>
      <c r="E202" s="2" t="s">
        <v>17</v>
      </c>
      <c r="F202" s="2">
        <v>802.0</v>
      </c>
      <c r="G202" s="2">
        <v>262.0</v>
      </c>
      <c r="H202" s="2">
        <v>244.0</v>
      </c>
      <c r="I202" s="2">
        <v>14436.0</v>
      </c>
      <c r="J202" s="2">
        <v>14280.0</v>
      </c>
      <c r="K202" s="2">
        <v>49.0</v>
      </c>
      <c r="L202" s="2" t="s">
        <v>74</v>
      </c>
      <c r="M202" s="2" t="s">
        <v>55</v>
      </c>
    </row>
    <row r="203" ht="14.25" customHeight="1">
      <c r="A203" s="2" t="s">
        <v>410</v>
      </c>
      <c r="B203" s="2" t="s">
        <v>40</v>
      </c>
      <c r="C203" s="2" t="s">
        <v>411</v>
      </c>
      <c r="D203" s="2" t="s">
        <v>49</v>
      </c>
      <c r="E203" s="2" t="s">
        <v>50</v>
      </c>
      <c r="F203" s="2">
        <v>1871.0</v>
      </c>
      <c r="G203" s="2">
        <v>252.0</v>
      </c>
      <c r="H203" s="2">
        <v>335.0</v>
      </c>
      <c r="I203" s="2">
        <v>29936.0</v>
      </c>
      <c r="J203" s="2">
        <v>29576.0</v>
      </c>
      <c r="K203" s="2">
        <v>288.0</v>
      </c>
      <c r="L203" s="2" t="s">
        <v>44</v>
      </c>
      <c r="M203" s="2" t="s">
        <v>25</v>
      </c>
    </row>
    <row r="204" ht="14.25" customHeight="1">
      <c r="A204" s="2" t="s">
        <v>412</v>
      </c>
      <c r="B204" s="2" t="s">
        <v>31</v>
      </c>
      <c r="C204" s="2" t="s">
        <v>413</v>
      </c>
      <c r="D204" s="2" t="s">
        <v>42</v>
      </c>
      <c r="E204" s="2" t="s">
        <v>43</v>
      </c>
      <c r="F204" s="2">
        <v>3773.0</v>
      </c>
      <c r="G204" s="2">
        <v>299.0</v>
      </c>
      <c r="H204" s="2">
        <v>38.0</v>
      </c>
      <c r="I204" s="2">
        <v>71687.0</v>
      </c>
      <c r="J204" s="2">
        <v>71447.0</v>
      </c>
      <c r="K204" s="2">
        <v>286.0</v>
      </c>
      <c r="L204" s="2" t="s">
        <v>44</v>
      </c>
      <c r="M204" s="2" t="s">
        <v>55</v>
      </c>
    </row>
    <row r="205" ht="14.25" customHeight="1">
      <c r="A205" s="2" t="s">
        <v>414</v>
      </c>
      <c r="B205" s="2" t="s">
        <v>31</v>
      </c>
      <c r="C205" s="2" t="s">
        <v>331</v>
      </c>
      <c r="D205" s="2" t="s">
        <v>42</v>
      </c>
      <c r="E205" s="2" t="s">
        <v>43</v>
      </c>
      <c r="F205" s="2">
        <v>2234.0</v>
      </c>
      <c r="G205" s="2">
        <v>653.0</v>
      </c>
      <c r="H205" s="2">
        <v>432.0</v>
      </c>
      <c r="I205" s="2">
        <v>11170.0</v>
      </c>
      <c r="J205" s="2">
        <v>10569.0</v>
      </c>
      <c r="K205" s="2">
        <v>198.0</v>
      </c>
      <c r="L205" s="2" t="s">
        <v>264</v>
      </c>
      <c r="M205" s="2" t="s">
        <v>55</v>
      </c>
    </row>
    <row r="206" ht="14.25" customHeight="1">
      <c r="A206" s="2" t="s">
        <v>415</v>
      </c>
      <c r="B206" s="2" t="s">
        <v>14</v>
      </c>
      <c r="C206" s="2" t="s">
        <v>302</v>
      </c>
      <c r="D206" s="2" t="s">
        <v>69</v>
      </c>
      <c r="E206" s="2" t="s">
        <v>70</v>
      </c>
      <c r="F206" s="2">
        <v>3820.0</v>
      </c>
      <c r="G206" s="2">
        <v>697.0</v>
      </c>
      <c r="H206" s="2">
        <v>268.0</v>
      </c>
      <c r="I206" s="2">
        <v>45840.0</v>
      </c>
      <c r="J206" s="2">
        <v>45631.0</v>
      </c>
      <c r="K206" s="2">
        <v>171.0</v>
      </c>
      <c r="L206" s="2" t="s">
        <v>162</v>
      </c>
      <c r="M206" s="2" t="s">
        <v>19</v>
      </c>
    </row>
    <row r="207" ht="14.25" customHeight="1">
      <c r="A207" s="2" t="s">
        <v>416</v>
      </c>
      <c r="B207" s="2" t="s">
        <v>14</v>
      </c>
      <c r="C207" s="2" t="s">
        <v>46</v>
      </c>
      <c r="D207" s="2" t="s">
        <v>22</v>
      </c>
      <c r="E207" s="2" t="s">
        <v>23</v>
      </c>
      <c r="F207" s="2">
        <v>941.0</v>
      </c>
      <c r="G207" s="2">
        <v>121.0</v>
      </c>
      <c r="H207" s="2">
        <v>458.0</v>
      </c>
      <c r="I207" s="2">
        <v>14115.0</v>
      </c>
      <c r="J207" s="2">
        <v>13838.0</v>
      </c>
      <c r="K207" s="2">
        <v>87.0</v>
      </c>
      <c r="L207" s="2" t="s">
        <v>29</v>
      </c>
      <c r="M207" s="2" t="s">
        <v>25</v>
      </c>
    </row>
    <row r="208" ht="14.25" customHeight="1">
      <c r="A208" s="2" t="s">
        <v>417</v>
      </c>
      <c r="B208" s="2" t="s">
        <v>14</v>
      </c>
      <c r="C208" s="2" t="s">
        <v>418</v>
      </c>
      <c r="D208" s="2" t="s">
        <v>42</v>
      </c>
      <c r="E208" s="2" t="s">
        <v>43</v>
      </c>
      <c r="F208" s="2">
        <v>4274.0</v>
      </c>
      <c r="G208" s="2">
        <v>340.0</v>
      </c>
      <c r="H208" s="2">
        <v>281.0</v>
      </c>
      <c r="I208" s="2">
        <v>34192.0</v>
      </c>
      <c r="J208" s="2">
        <v>33446.0</v>
      </c>
      <c r="K208" s="2">
        <v>129.0</v>
      </c>
      <c r="L208" s="2" t="s">
        <v>162</v>
      </c>
      <c r="M208" s="2" t="s">
        <v>38</v>
      </c>
    </row>
    <row r="209" ht="14.25" customHeight="1">
      <c r="A209" s="2" t="s">
        <v>419</v>
      </c>
      <c r="B209" s="2" t="s">
        <v>27</v>
      </c>
      <c r="C209" s="2" t="s">
        <v>46</v>
      </c>
      <c r="D209" s="2" t="s">
        <v>69</v>
      </c>
      <c r="E209" s="2" t="s">
        <v>70</v>
      </c>
      <c r="F209" s="2">
        <v>2949.0</v>
      </c>
      <c r="G209" s="2">
        <v>476.0</v>
      </c>
      <c r="H209" s="2">
        <v>403.0</v>
      </c>
      <c r="I209" s="2">
        <v>44235.0</v>
      </c>
      <c r="J209" s="2">
        <v>43705.0</v>
      </c>
      <c r="K209" s="2">
        <v>135.0</v>
      </c>
      <c r="L209" s="2" t="s">
        <v>116</v>
      </c>
      <c r="M209" s="2" t="s">
        <v>19</v>
      </c>
    </row>
    <row r="210" ht="14.25" customHeight="1">
      <c r="A210" s="2" t="s">
        <v>420</v>
      </c>
      <c r="B210" s="2" t="s">
        <v>14</v>
      </c>
      <c r="C210" s="2" t="s">
        <v>421</v>
      </c>
      <c r="D210" s="2" t="s">
        <v>69</v>
      </c>
      <c r="E210" s="2" t="s">
        <v>70</v>
      </c>
      <c r="F210" s="2">
        <v>3160.0</v>
      </c>
      <c r="G210" s="2">
        <v>204.0</v>
      </c>
      <c r="H210" s="2">
        <v>297.0</v>
      </c>
      <c r="I210" s="2">
        <v>44240.0</v>
      </c>
      <c r="J210" s="2">
        <v>43666.0</v>
      </c>
      <c r="K210" s="2">
        <v>49.0</v>
      </c>
      <c r="L210" s="2" t="s">
        <v>87</v>
      </c>
      <c r="M210" s="2" t="s">
        <v>19</v>
      </c>
    </row>
    <row r="211" ht="14.25" customHeight="1">
      <c r="A211" s="2" t="s">
        <v>422</v>
      </c>
      <c r="B211" s="2" t="s">
        <v>27</v>
      </c>
      <c r="C211" s="2" t="s">
        <v>345</v>
      </c>
      <c r="D211" s="2" t="s">
        <v>49</v>
      </c>
      <c r="E211" s="2" t="s">
        <v>50</v>
      </c>
      <c r="F211" s="2">
        <v>257.0</v>
      </c>
      <c r="G211" s="2">
        <v>966.0</v>
      </c>
      <c r="H211" s="2">
        <v>398.0</v>
      </c>
      <c r="I211" s="2">
        <v>3341.0</v>
      </c>
      <c r="J211" s="2">
        <v>2753.0</v>
      </c>
      <c r="K211" s="2">
        <v>287.0</v>
      </c>
      <c r="L211" s="2" t="s">
        <v>209</v>
      </c>
      <c r="M211" s="2" t="s">
        <v>19</v>
      </c>
    </row>
    <row r="212" ht="14.25" customHeight="1">
      <c r="A212" s="2" t="s">
        <v>423</v>
      </c>
      <c r="B212" s="2" t="s">
        <v>14</v>
      </c>
      <c r="C212" s="2" t="s">
        <v>424</v>
      </c>
      <c r="D212" s="2" t="s">
        <v>42</v>
      </c>
      <c r="E212" s="2" t="s">
        <v>43</v>
      </c>
      <c r="F212" s="2">
        <v>2120.0</v>
      </c>
      <c r="G212" s="2">
        <v>38.0</v>
      </c>
      <c r="H212" s="2">
        <v>212.0</v>
      </c>
      <c r="I212" s="2">
        <v>12720.0</v>
      </c>
      <c r="J212" s="2">
        <v>12564.0</v>
      </c>
      <c r="K212" s="2">
        <v>21.0</v>
      </c>
      <c r="L212" s="2" t="s">
        <v>209</v>
      </c>
      <c r="M212" s="2" t="s">
        <v>19</v>
      </c>
    </row>
    <row r="213" ht="14.25" customHeight="1">
      <c r="A213" s="2" t="s">
        <v>425</v>
      </c>
      <c r="B213" s="2" t="s">
        <v>27</v>
      </c>
      <c r="C213" s="2" t="s">
        <v>193</v>
      </c>
      <c r="D213" s="2" t="s">
        <v>69</v>
      </c>
      <c r="E213" s="2" t="s">
        <v>70</v>
      </c>
      <c r="F213" s="2">
        <v>3874.0</v>
      </c>
      <c r="G213" s="2">
        <v>884.0</v>
      </c>
      <c r="H213" s="2">
        <v>19.0</v>
      </c>
      <c r="I213" s="2">
        <v>38740.0</v>
      </c>
      <c r="J213" s="2">
        <v>38552.0</v>
      </c>
      <c r="K213" s="2">
        <v>219.0</v>
      </c>
      <c r="L213" s="2" t="s">
        <v>58</v>
      </c>
      <c r="M213" s="2" t="s">
        <v>55</v>
      </c>
    </row>
    <row r="214" ht="14.25" customHeight="1">
      <c r="A214" s="2" t="s">
        <v>426</v>
      </c>
      <c r="B214" s="2" t="s">
        <v>40</v>
      </c>
      <c r="C214" s="2" t="s">
        <v>427</v>
      </c>
      <c r="D214" s="2" t="s">
        <v>42</v>
      </c>
      <c r="E214" s="2" t="s">
        <v>43</v>
      </c>
      <c r="F214" s="2">
        <v>2696.0</v>
      </c>
      <c r="G214" s="2">
        <v>628.0</v>
      </c>
      <c r="H214" s="2">
        <v>443.0</v>
      </c>
      <c r="I214" s="2">
        <v>45832.0</v>
      </c>
      <c r="J214" s="2">
        <v>45632.0</v>
      </c>
      <c r="K214" s="2">
        <v>248.0</v>
      </c>
      <c r="L214" s="2" t="s">
        <v>18</v>
      </c>
      <c r="M214" s="2" t="s">
        <v>38</v>
      </c>
    </row>
    <row r="215" ht="14.25" customHeight="1">
      <c r="A215" s="2" t="s">
        <v>428</v>
      </c>
      <c r="B215" s="2" t="s">
        <v>31</v>
      </c>
      <c r="C215" s="2" t="s">
        <v>15</v>
      </c>
      <c r="D215" s="2" t="s">
        <v>49</v>
      </c>
      <c r="E215" s="2" t="s">
        <v>50</v>
      </c>
      <c r="F215" s="2">
        <v>521.0</v>
      </c>
      <c r="G215" s="2">
        <v>746.0</v>
      </c>
      <c r="H215" s="2">
        <v>315.0</v>
      </c>
      <c r="I215" s="2">
        <v>4168.0</v>
      </c>
      <c r="J215" s="2">
        <v>3399.0</v>
      </c>
      <c r="K215" s="2">
        <v>282.0</v>
      </c>
      <c r="L215" s="2" t="s">
        <v>18</v>
      </c>
      <c r="M215" s="2" t="s">
        <v>19</v>
      </c>
    </row>
    <row r="216" ht="14.25" customHeight="1">
      <c r="A216" s="2" t="s">
        <v>429</v>
      </c>
      <c r="B216" s="2" t="s">
        <v>40</v>
      </c>
      <c r="C216" s="2" t="s">
        <v>430</v>
      </c>
      <c r="D216" s="2" t="s">
        <v>49</v>
      </c>
      <c r="E216" s="2" t="s">
        <v>50</v>
      </c>
      <c r="F216" s="2">
        <v>4872.0</v>
      </c>
      <c r="G216" s="2">
        <v>925.0</v>
      </c>
      <c r="H216" s="2">
        <v>176.0</v>
      </c>
      <c r="I216" s="2">
        <v>82824.0</v>
      </c>
      <c r="J216" s="2">
        <v>82543.0</v>
      </c>
      <c r="K216" s="2">
        <v>89.0</v>
      </c>
      <c r="L216" s="2" t="s">
        <v>102</v>
      </c>
      <c r="M216" s="2" t="s">
        <v>19</v>
      </c>
    </row>
    <row r="217" ht="14.25" customHeight="1">
      <c r="A217" s="2" t="s">
        <v>431</v>
      </c>
      <c r="B217" s="2" t="s">
        <v>27</v>
      </c>
      <c r="C217" s="2" t="s">
        <v>263</v>
      </c>
      <c r="D217" s="2" t="s">
        <v>33</v>
      </c>
      <c r="E217" s="2" t="s">
        <v>34</v>
      </c>
      <c r="F217" s="2">
        <v>1509.0</v>
      </c>
      <c r="G217" s="2">
        <v>88.0</v>
      </c>
      <c r="H217" s="2">
        <v>163.0</v>
      </c>
      <c r="I217" s="2">
        <v>30180.0</v>
      </c>
      <c r="J217" s="2">
        <v>29689.0</v>
      </c>
      <c r="K217" s="2">
        <v>119.0</v>
      </c>
      <c r="L217" s="2" t="s">
        <v>44</v>
      </c>
      <c r="M217" s="2" t="s">
        <v>19</v>
      </c>
    </row>
    <row r="218" ht="14.25" customHeight="1">
      <c r="A218" s="2" t="s">
        <v>432</v>
      </c>
      <c r="B218" s="2" t="s">
        <v>40</v>
      </c>
      <c r="C218" s="2" t="s">
        <v>357</v>
      </c>
      <c r="D218" s="2" t="s">
        <v>49</v>
      </c>
      <c r="E218" s="2" t="s">
        <v>50</v>
      </c>
      <c r="F218" s="2">
        <v>4606.0</v>
      </c>
      <c r="G218" s="2">
        <v>931.0</v>
      </c>
      <c r="H218" s="2">
        <v>230.0</v>
      </c>
      <c r="I218" s="2">
        <v>92120.0</v>
      </c>
      <c r="J218" s="2">
        <v>91440.0</v>
      </c>
      <c r="K218" s="2">
        <v>56.0</v>
      </c>
      <c r="L218" s="2" t="s">
        <v>144</v>
      </c>
      <c r="M218" s="2" t="s">
        <v>38</v>
      </c>
    </row>
    <row r="219" ht="14.25" customHeight="1">
      <c r="A219" s="2" t="s">
        <v>433</v>
      </c>
      <c r="B219" s="2" t="s">
        <v>40</v>
      </c>
      <c r="C219" s="2" t="s">
        <v>249</v>
      </c>
      <c r="D219" s="2" t="s">
        <v>42</v>
      </c>
      <c r="E219" s="2" t="s">
        <v>43</v>
      </c>
      <c r="F219" s="2">
        <v>1869.0</v>
      </c>
      <c r="G219" s="2">
        <v>453.0</v>
      </c>
      <c r="H219" s="2">
        <v>490.0</v>
      </c>
      <c r="I219" s="2">
        <v>14952.0</v>
      </c>
      <c r="J219" s="2">
        <v>14309.0</v>
      </c>
      <c r="K219" s="2">
        <v>275.0</v>
      </c>
      <c r="L219" s="2" t="s">
        <v>264</v>
      </c>
      <c r="M219" s="2" t="s">
        <v>19</v>
      </c>
    </row>
    <row r="220" ht="14.25" customHeight="1">
      <c r="A220" s="2" t="s">
        <v>434</v>
      </c>
      <c r="B220" s="2" t="s">
        <v>14</v>
      </c>
      <c r="C220" s="2" t="s">
        <v>170</v>
      </c>
      <c r="D220" s="2" t="s">
        <v>16</v>
      </c>
      <c r="E220" s="2" t="s">
        <v>17</v>
      </c>
      <c r="F220" s="2">
        <v>1188.0</v>
      </c>
      <c r="G220" s="2">
        <v>470.0</v>
      </c>
      <c r="H220" s="2">
        <v>174.0</v>
      </c>
      <c r="I220" s="2">
        <v>7128.0</v>
      </c>
      <c r="J220" s="2">
        <v>6145.0</v>
      </c>
      <c r="K220" s="2">
        <v>270.0</v>
      </c>
      <c r="L220" s="2" t="s">
        <v>37</v>
      </c>
      <c r="M220" s="2" t="s">
        <v>25</v>
      </c>
    </row>
    <row r="221" ht="14.25" customHeight="1">
      <c r="A221" s="2" t="s">
        <v>435</v>
      </c>
      <c r="B221" s="2" t="s">
        <v>31</v>
      </c>
      <c r="C221" s="2" t="s">
        <v>411</v>
      </c>
      <c r="D221" s="2" t="s">
        <v>33</v>
      </c>
      <c r="E221" s="2" t="s">
        <v>34</v>
      </c>
      <c r="F221" s="2">
        <v>84.0</v>
      </c>
      <c r="G221" s="2">
        <v>897.0</v>
      </c>
      <c r="H221" s="2">
        <v>85.0</v>
      </c>
      <c r="I221" s="2">
        <v>588.0</v>
      </c>
      <c r="J221" s="2">
        <v>8.0</v>
      </c>
      <c r="K221" s="2">
        <v>12.0</v>
      </c>
      <c r="L221" s="2" t="s">
        <v>58</v>
      </c>
      <c r="M221" s="2" t="s">
        <v>25</v>
      </c>
    </row>
    <row r="222" ht="14.25" customHeight="1">
      <c r="A222" s="2" t="s">
        <v>436</v>
      </c>
      <c r="B222" s="2" t="s">
        <v>40</v>
      </c>
      <c r="C222" s="2" t="s">
        <v>251</v>
      </c>
      <c r="D222" s="2" t="s">
        <v>69</v>
      </c>
      <c r="E222" s="2" t="s">
        <v>70</v>
      </c>
      <c r="F222" s="2">
        <v>4453.0</v>
      </c>
      <c r="G222" s="2">
        <v>111.0</v>
      </c>
      <c r="H222" s="2">
        <v>420.0</v>
      </c>
      <c r="I222" s="2">
        <v>31171.0</v>
      </c>
      <c r="J222" s="2">
        <v>30565.0</v>
      </c>
      <c r="K222" s="2">
        <v>23.0</v>
      </c>
      <c r="L222" s="2" t="s">
        <v>105</v>
      </c>
      <c r="M222" s="2" t="s">
        <v>55</v>
      </c>
    </row>
    <row r="223" ht="14.25" customHeight="1">
      <c r="A223" s="2" t="s">
        <v>437</v>
      </c>
      <c r="B223" s="2" t="s">
        <v>40</v>
      </c>
      <c r="C223" s="2" t="s">
        <v>438</v>
      </c>
      <c r="D223" s="2" t="s">
        <v>16</v>
      </c>
      <c r="E223" s="2" t="s">
        <v>17</v>
      </c>
      <c r="F223" s="2">
        <v>1814.0</v>
      </c>
      <c r="G223" s="2">
        <v>653.0</v>
      </c>
      <c r="H223" s="2">
        <v>363.0</v>
      </c>
      <c r="I223" s="2">
        <v>25396.0</v>
      </c>
      <c r="J223" s="2">
        <v>25286.0</v>
      </c>
      <c r="K223" s="2">
        <v>39.0</v>
      </c>
      <c r="L223" s="2" t="s">
        <v>58</v>
      </c>
      <c r="M223" s="2" t="s">
        <v>19</v>
      </c>
    </row>
    <row r="224" ht="14.25" customHeight="1">
      <c r="A224" s="2" t="s">
        <v>439</v>
      </c>
      <c r="B224" s="2" t="s">
        <v>14</v>
      </c>
      <c r="C224" s="2" t="s">
        <v>355</v>
      </c>
      <c r="D224" s="2" t="s">
        <v>49</v>
      </c>
      <c r="E224" s="2" t="s">
        <v>50</v>
      </c>
      <c r="F224" s="2">
        <v>3338.0</v>
      </c>
      <c r="G224" s="2">
        <v>277.0</v>
      </c>
      <c r="H224" s="2">
        <v>118.0</v>
      </c>
      <c r="I224" s="2">
        <v>60084.0</v>
      </c>
      <c r="J224" s="2">
        <v>59842.0</v>
      </c>
      <c r="K224" s="2">
        <v>252.0</v>
      </c>
      <c r="L224" s="2" t="s">
        <v>58</v>
      </c>
      <c r="M224" s="2" t="s">
        <v>19</v>
      </c>
    </row>
    <row r="225" ht="14.25" customHeight="1">
      <c r="A225" s="2" t="s">
        <v>440</v>
      </c>
      <c r="B225" s="2" t="s">
        <v>40</v>
      </c>
      <c r="C225" s="2" t="s">
        <v>441</v>
      </c>
      <c r="D225" s="2" t="s">
        <v>49</v>
      </c>
      <c r="E225" s="2" t="s">
        <v>50</v>
      </c>
      <c r="F225" s="2">
        <v>602.0</v>
      </c>
      <c r="G225" s="2">
        <v>594.0</v>
      </c>
      <c r="H225" s="2">
        <v>156.0</v>
      </c>
      <c r="I225" s="2">
        <v>4214.0</v>
      </c>
      <c r="J225" s="2">
        <v>3363.0</v>
      </c>
      <c r="K225" s="2">
        <v>164.0</v>
      </c>
      <c r="L225" s="2" t="s">
        <v>18</v>
      </c>
      <c r="M225" s="2" t="s">
        <v>38</v>
      </c>
    </row>
    <row r="226" ht="14.25" customHeight="1">
      <c r="A226" s="2" t="s">
        <v>442</v>
      </c>
      <c r="B226" s="2" t="s">
        <v>14</v>
      </c>
      <c r="C226" s="2" t="s">
        <v>370</v>
      </c>
      <c r="D226" s="2" t="s">
        <v>42</v>
      </c>
      <c r="E226" s="2" t="s">
        <v>43</v>
      </c>
      <c r="F226" s="2">
        <v>4672.0</v>
      </c>
      <c r="G226" s="2">
        <v>325.0</v>
      </c>
      <c r="H226" s="2">
        <v>32.0</v>
      </c>
      <c r="I226" s="2">
        <v>88768.0</v>
      </c>
      <c r="J226" s="2">
        <v>87833.0</v>
      </c>
      <c r="K226" s="2">
        <v>118.0</v>
      </c>
      <c r="L226" s="2" t="s">
        <v>127</v>
      </c>
      <c r="M226" s="2" t="s">
        <v>38</v>
      </c>
    </row>
    <row r="227" ht="14.25" customHeight="1">
      <c r="A227" s="2" t="s">
        <v>443</v>
      </c>
      <c r="B227" s="2" t="s">
        <v>31</v>
      </c>
      <c r="C227" s="2" t="s">
        <v>444</v>
      </c>
      <c r="D227" s="2" t="s">
        <v>42</v>
      </c>
      <c r="E227" s="2" t="s">
        <v>43</v>
      </c>
      <c r="F227" s="2">
        <v>1741.0</v>
      </c>
      <c r="G227" s="2">
        <v>164.0</v>
      </c>
      <c r="H227" s="2">
        <v>318.0</v>
      </c>
      <c r="I227" s="2">
        <v>8705.0</v>
      </c>
      <c r="J227" s="2">
        <v>8272.0</v>
      </c>
      <c r="K227" s="2">
        <v>121.0</v>
      </c>
      <c r="L227" s="2" t="s">
        <v>18</v>
      </c>
      <c r="M227" s="2" t="s">
        <v>25</v>
      </c>
    </row>
    <row r="228" ht="14.25" customHeight="1">
      <c r="A228" s="2" t="s">
        <v>445</v>
      </c>
      <c r="B228" s="2" t="s">
        <v>31</v>
      </c>
      <c r="C228" s="2" t="s">
        <v>446</v>
      </c>
      <c r="D228" s="2" t="s">
        <v>22</v>
      </c>
      <c r="E228" s="2" t="s">
        <v>23</v>
      </c>
      <c r="F228" s="2">
        <v>246.0</v>
      </c>
      <c r="G228" s="2">
        <v>149.0</v>
      </c>
      <c r="H228" s="2">
        <v>130.0</v>
      </c>
      <c r="I228" s="2">
        <v>4674.0</v>
      </c>
      <c r="J228" s="2">
        <v>4390.0</v>
      </c>
      <c r="K228" s="2">
        <v>217.0</v>
      </c>
      <c r="L228" s="2" t="s">
        <v>116</v>
      </c>
      <c r="M228" s="2" t="s">
        <v>25</v>
      </c>
    </row>
    <row r="229" ht="14.25" customHeight="1">
      <c r="A229" s="2" t="s">
        <v>447</v>
      </c>
      <c r="B229" s="2" t="s">
        <v>31</v>
      </c>
      <c r="C229" s="2" t="s">
        <v>448</v>
      </c>
      <c r="D229" s="2" t="s">
        <v>33</v>
      </c>
      <c r="E229" s="2" t="s">
        <v>34</v>
      </c>
      <c r="F229" s="2">
        <v>4808.0</v>
      </c>
      <c r="G229" s="2">
        <v>772.0</v>
      </c>
      <c r="H229" s="2">
        <v>320.0</v>
      </c>
      <c r="I229" s="2">
        <v>72120.0</v>
      </c>
      <c r="J229" s="2">
        <v>71696.0</v>
      </c>
      <c r="K229" s="2">
        <v>195.0</v>
      </c>
      <c r="L229" s="2" t="s">
        <v>209</v>
      </c>
      <c r="M229" s="2" t="s">
        <v>55</v>
      </c>
    </row>
    <row r="230" ht="14.25" customHeight="1">
      <c r="A230" s="2" t="s">
        <v>449</v>
      </c>
      <c r="B230" s="2" t="s">
        <v>31</v>
      </c>
      <c r="C230" s="2" t="s">
        <v>150</v>
      </c>
      <c r="D230" s="2" t="s">
        <v>42</v>
      </c>
      <c r="E230" s="2" t="s">
        <v>43</v>
      </c>
      <c r="F230" s="2">
        <v>4799.0</v>
      </c>
      <c r="G230" s="2">
        <v>694.0</v>
      </c>
      <c r="H230" s="2">
        <v>289.0</v>
      </c>
      <c r="I230" s="2">
        <v>43191.0</v>
      </c>
      <c r="J230" s="2">
        <v>42228.0</v>
      </c>
      <c r="K230" s="2">
        <v>118.0</v>
      </c>
      <c r="L230" s="2" t="s">
        <v>44</v>
      </c>
      <c r="M230" s="2" t="s">
        <v>25</v>
      </c>
    </row>
    <row r="231" ht="14.25" customHeight="1">
      <c r="A231" s="2" t="s">
        <v>450</v>
      </c>
      <c r="B231" s="2" t="s">
        <v>40</v>
      </c>
      <c r="C231" s="2" t="s">
        <v>312</v>
      </c>
      <c r="D231" s="2" t="s">
        <v>16</v>
      </c>
      <c r="E231" s="2" t="s">
        <v>17</v>
      </c>
      <c r="F231" s="2">
        <v>3663.0</v>
      </c>
      <c r="G231" s="2">
        <v>17.0</v>
      </c>
      <c r="H231" s="2">
        <v>295.0</v>
      </c>
      <c r="I231" s="2">
        <v>51282.0</v>
      </c>
      <c r="J231" s="2">
        <v>50567.0</v>
      </c>
      <c r="K231" s="2">
        <v>84.0</v>
      </c>
      <c r="L231" s="2" t="s">
        <v>18</v>
      </c>
      <c r="M231" s="2" t="s">
        <v>19</v>
      </c>
    </row>
    <row r="232" ht="14.25" customHeight="1">
      <c r="A232" s="2" t="s">
        <v>451</v>
      </c>
      <c r="B232" s="2" t="s">
        <v>31</v>
      </c>
      <c r="C232" s="2" t="s">
        <v>427</v>
      </c>
      <c r="D232" s="2" t="s">
        <v>22</v>
      </c>
      <c r="E232" s="2" t="s">
        <v>23</v>
      </c>
      <c r="F232" s="2">
        <v>1430.0</v>
      </c>
      <c r="G232" s="2">
        <v>376.0</v>
      </c>
      <c r="H232" s="2">
        <v>33.0</v>
      </c>
      <c r="I232" s="2">
        <v>21450.0</v>
      </c>
      <c r="J232" s="2">
        <v>20509.0</v>
      </c>
      <c r="K232" s="2">
        <v>251.0</v>
      </c>
      <c r="L232" s="2" t="s">
        <v>77</v>
      </c>
      <c r="M232" s="2" t="s">
        <v>38</v>
      </c>
    </row>
    <row r="233" ht="14.25" customHeight="1">
      <c r="A233" s="2" t="s">
        <v>452</v>
      </c>
      <c r="B233" s="2" t="s">
        <v>14</v>
      </c>
      <c r="C233" s="2" t="s">
        <v>453</v>
      </c>
      <c r="D233" s="2" t="s">
        <v>33</v>
      </c>
      <c r="E233" s="2" t="s">
        <v>34</v>
      </c>
      <c r="F233" s="2">
        <v>249.0</v>
      </c>
      <c r="G233" s="2">
        <v>592.0</v>
      </c>
      <c r="H233" s="2">
        <v>230.0</v>
      </c>
      <c r="I233" s="2">
        <v>1494.0</v>
      </c>
      <c r="J233" s="2">
        <v>1044.0</v>
      </c>
      <c r="K233" s="2">
        <v>201.0</v>
      </c>
      <c r="L233" s="2" t="s">
        <v>285</v>
      </c>
      <c r="M233" s="2" t="s">
        <v>55</v>
      </c>
    </row>
    <row r="234" ht="14.25" customHeight="1">
      <c r="A234" s="2" t="s">
        <v>454</v>
      </c>
      <c r="B234" s="2" t="s">
        <v>40</v>
      </c>
      <c r="C234" s="2" t="s">
        <v>131</v>
      </c>
      <c r="D234" s="2" t="s">
        <v>49</v>
      </c>
      <c r="E234" s="2" t="s">
        <v>50</v>
      </c>
      <c r="F234" s="2">
        <v>2382.0</v>
      </c>
      <c r="G234" s="2">
        <v>265.0</v>
      </c>
      <c r="H234" s="2">
        <v>134.0</v>
      </c>
      <c r="I234" s="2">
        <v>38112.0</v>
      </c>
      <c r="J234" s="2">
        <v>37437.0</v>
      </c>
      <c r="K234" s="2">
        <v>249.0</v>
      </c>
      <c r="L234" s="2" t="s">
        <v>178</v>
      </c>
      <c r="M234" s="2" t="s">
        <v>25</v>
      </c>
    </row>
    <row r="235" ht="14.25" customHeight="1">
      <c r="A235" s="2" t="s">
        <v>455</v>
      </c>
      <c r="B235" s="2" t="s">
        <v>40</v>
      </c>
      <c r="C235" s="2" t="s">
        <v>456</v>
      </c>
      <c r="D235" s="2" t="s">
        <v>22</v>
      </c>
      <c r="E235" s="2" t="s">
        <v>23</v>
      </c>
      <c r="F235" s="2">
        <v>1272.0</v>
      </c>
      <c r="G235" s="2">
        <v>465.0</v>
      </c>
      <c r="H235" s="2">
        <v>99.0</v>
      </c>
      <c r="I235" s="2">
        <v>24168.0</v>
      </c>
      <c r="J235" s="2">
        <v>23719.0</v>
      </c>
      <c r="K235" s="2">
        <v>42.0</v>
      </c>
      <c r="L235" s="2" t="s">
        <v>71</v>
      </c>
      <c r="M235" s="2" t="s">
        <v>25</v>
      </c>
    </row>
    <row r="236" ht="14.25" customHeight="1">
      <c r="A236" s="2" t="s">
        <v>457</v>
      </c>
      <c r="B236" s="2" t="s">
        <v>40</v>
      </c>
      <c r="C236" s="2" t="s">
        <v>387</v>
      </c>
      <c r="D236" s="2" t="s">
        <v>49</v>
      </c>
      <c r="E236" s="2" t="s">
        <v>50</v>
      </c>
      <c r="F236" s="2">
        <v>3196.0</v>
      </c>
      <c r="G236" s="2">
        <v>941.0</v>
      </c>
      <c r="H236" s="2">
        <v>376.0</v>
      </c>
      <c r="I236" s="2">
        <v>35156.0</v>
      </c>
      <c r="J236" s="2">
        <v>34444.0</v>
      </c>
      <c r="K236" s="2">
        <v>241.0</v>
      </c>
      <c r="L236" s="2" t="s">
        <v>87</v>
      </c>
      <c r="M236" s="2" t="s">
        <v>55</v>
      </c>
    </row>
    <row r="237" ht="14.25" customHeight="1">
      <c r="A237" s="2" t="s">
        <v>458</v>
      </c>
      <c r="B237" s="2" t="s">
        <v>40</v>
      </c>
      <c r="C237" s="2" t="s">
        <v>79</v>
      </c>
      <c r="D237" s="2" t="s">
        <v>22</v>
      </c>
      <c r="E237" s="2" t="s">
        <v>23</v>
      </c>
      <c r="F237" s="2">
        <v>1257.0</v>
      </c>
      <c r="G237" s="2">
        <v>19.0</v>
      </c>
      <c r="H237" s="2">
        <v>351.0</v>
      </c>
      <c r="I237" s="2">
        <v>12570.0</v>
      </c>
      <c r="J237" s="2">
        <v>11660.0</v>
      </c>
      <c r="K237" s="2">
        <v>194.0</v>
      </c>
      <c r="L237" s="2" t="s">
        <v>58</v>
      </c>
      <c r="M237" s="2" t="s">
        <v>19</v>
      </c>
    </row>
    <row r="238" ht="14.25" customHeight="1">
      <c r="A238" s="2" t="s">
        <v>459</v>
      </c>
      <c r="B238" s="2" t="s">
        <v>31</v>
      </c>
      <c r="C238" s="2" t="s">
        <v>336</v>
      </c>
      <c r="D238" s="2" t="s">
        <v>33</v>
      </c>
      <c r="E238" s="2" t="s">
        <v>34</v>
      </c>
      <c r="F238" s="2">
        <v>3770.0</v>
      </c>
      <c r="G238" s="2">
        <v>917.0</v>
      </c>
      <c r="H238" s="2">
        <v>129.0</v>
      </c>
      <c r="I238" s="2">
        <v>71630.0</v>
      </c>
      <c r="J238" s="2">
        <v>71322.0</v>
      </c>
      <c r="K238" s="2">
        <v>76.0</v>
      </c>
      <c r="L238" s="2" t="s">
        <v>102</v>
      </c>
      <c r="M238" s="2" t="s">
        <v>55</v>
      </c>
    </row>
    <row r="239" ht="14.25" customHeight="1">
      <c r="A239" s="2" t="s">
        <v>460</v>
      </c>
      <c r="B239" s="2" t="s">
        <v>14</v>
      </c>
      <c r="C239" s="2" t="s">
        <v>461</v>
      </c>
      <c r="D239" s="2" t="s">
        <v>22</v>
      </c>
      <c r="E239" s="2" t="s">
        <v>23</v>
      </c>
      <c r="F239" s="2">
        <v>4725.0</v>
      </c>
      <c r="G239" s="2">
        <v>400.0</v>
      </c>
      <c r="H239" s="2">
        <v>362.0</v>
      </c>
      <c r="I239" s="2">
        <v>75600.0</v>
      </c>
      <c r="J239" s="2">
        <v>74927.0</v>
      </c>
      <c r="K239" s="2">
        <v>43.0</v>
      </c>
      <c r="L239" s="2" t="s">
        <v>105</v>
      </c>
      <c r="M239" s="2" t="s">
        <v>19</v>
      </c>
    </row>
    <row r="240" ht="14.25" customHeight="1">
      <c r="A240" s="2" t="s">
        <v>462</v>
      </c>
      <c r="B240" s="2" t="s">
        <v>27</v>
      </c>
      <c r="C240" s="2" t="s">
        <v>143</v>
      </c>
      <c r="D240" s="2" t="s">
        <v>22</v>
      </c>
      <c r="E240" s="2" t="s">
        <v>23</v>
      </c>
      <c r="F240" s="2">
        <v>4188.0</v>
      </c>
      <c r="G240" s="2">
        <v>942.0</v>
      </c>
      <c r="H240" s="2">
        <v>118.0</v>
      </c>
      <c r="I240" s="2">
        <v>20940.0</v>
      </c>
      <c r="J240" s="2">
        <v>20471.0</v>
      </c>
      <c r="K240" s="2">
        <v>102.0</v>
      </c>
      <c r="L240" s="2" t="s">
        <v>58</v>
      </c>
      <c r="M240" s="2" t="s">
        <v>25</v>
      </c>
    </row>
    <row r="241" ht="14.25" customHeight="1">
      <c r="A241" s="2" t="s">
        <v>463</v>
      </c>
      <c r="B241" s="2" t="s">
        <v>14</v>
      </c>
      <c r="C241" s="2" t="s">
        <v>73</v>
      </c>
      <c r="D241" s="2" t="s">
        <v>42</v>
      </c>
      <c r="E241" s="2" t="s">
        <v>43</v>
      </c>
      <c r="F241" s="2">
        <v>929.0</v>
      </c>
      <c r="G241" s="2">
        <v>192.0</v>
      </c>
      <c r="H241" s="2">
        <v>322.0</v>
      </c>
      <c r="I241" s="2">
        <v>16722.0</v>
      </c>
      <c r="J241" s="2">
        <v>15996.0</v>
      </c>
      <c r="K241" s="2">
        <v>145.0</v>
      </c>
      <c r="L241" s="2" t="s">
        <v>24</v>
      </c>
      <c r="M241" s="2" t="s">
        <v>38</v>
      </c>
    </row>
    <row r="242" ht="14.25" customHeight="1">
      <c r="A242" s="2" t="s">
        <v>464</v>
      </c>
      <c r="B242" s="2" t="s">
        <v>40</v>
      </c>
      <c r="C242" s="2" t="s">
        <v>465</v>
      </c>
      <c r="D242" s="2" t="s">
        <v>33</v>
      </c>
      <c r="E242" s="2" t="s">
        <v>34</v>
      </c>
      <c r="F242" s="2">
        <v>4321.0</v>
      </c>
      <c r="G242" s="2">
        <v>874.0</v>
      </c>
      <c r="H242" s="2">
        <v>172.0</v>
      </c>
      <c r="I242" s="2">
        <v>30247.0</v>
      </c>
      <c r="J242" s="2">
        <v>29254.0</v>
      </c>
      <c r="K242" s="2">
        <v>122.0</v>
      </c>
      <c r="L242" s="2" t="s">
        <v>66</v>
      </c>
      <c r="M242" s="2" t="s">
        <v>38</v>
      </c>
    </row>
    <row r="243" ht="14.25" customHeight="1">
      <c r="A243" s="2" t="s">
        <v>466</v>
      </c>
      <c r="B243" s="2" t="s">
        <v>40</v>
      </c>
      <c r="C243" s="2" t="s">
        <v>223</v>
      </c>
      <c r="D243" s="2" t="s">
        <v>16</v>
      </c>
      <c r="E243" s="2" t="s">
        <v>17</v>
      </c>
      <c r="F243" s="2">
        <v>4767.0</v>
      </c>
      <c r="G243" s="2">
        <v>190.0</v>
      </c>
      <c r="H243" s="2">
        <v>340.0</v>
      </c>
      <c r="I243" s="2">
        <v>28602.0</v>
      </c>
      <c r="J243" s="2">
        <v>28044.0</v>
      </c>
      <c r="K243" s="2">
        <v>210.0</v>
      </c>
      <c r="L243" s="2" t="s">
        <v>77</v>
      </c>
      <c r="M243" s="2" t="s">
        <v>55</v>
      </c>
    </row>
    <row r="244" ht="14.25" customHeight="1">
      <c r="A244" s="2" t="s">
        <v>467</v>
      </c>
      <c r="B244" s="2" t="s">
        <v>14</v>
      </c>
      <c r="C244" s="2" t="s">
        <v>468</v>
      </c>
      <c r="D244" s="2" t="s">
        <v>49</v>
      </c>
      <c r="E244" s="2" t="s">
        <v>50</v>
      </c>
      <c r="F244" s="2">
        <v>3592.0</v>
      </c>
      <c r="G244" s="2">
        <v>911.0</v>
      </c>
      <c r="H244" s="2">
        <v>375.0</v>
      </c>
      <c r="I244" s="2">
        <v>50288.0</v>
      </c>
      <c r="J244" s="2">
        <v>49490.0</v>
      </c>
      <c r="K244" s="2">
        <v>32.0</v>
      </c>
      <c r="L244" s="2" t="s">
        <v>58</v>
      </c>
      <c r="M244" s="2" t="s">
        <v>25</v>
      </c>
    </row>
    <row r="245" ht="14.25" customHeight="1">
      <c r="A245" s="2" t="s">
        <v>469</v>
      </c>
      <c r="B245" s="2" t="s">
        <v>27</v>
      </c>
      <c r="C245" s="2" t="s">
        <v>470</v>
      </c>
      <c r="D245" s="2" t="s">
        <v>69</v>
      </c>
      <c r="E245" s="2" t="s">
        <v>70</v>
      </c>
      <c r="F245" s="2">
        <v>4661.0</v>
      </c>
      <c r="G245" s="2">
        <v>935.0</v>
      </c>
      <c r="H245" s="2">
        <v>433.0</v>
      </c>
      <c r="I245" s="2">
        <v>23305.0</v>
      </c>
      <c r="J245" s="2">
        <v>22583.0</v>
      </c>
      <c r="K245" s="2">
        <v>63.0</v>
      </c>
      <c r="L245" s="2" t="s">
        <v>162</v>
      </c>
      <c r="M245" s="2" t="s">
        <v>19</v>
      </c>
    </row>
    <row r="246" ht="14.25" customHeight="1">
      <c r="A246" s="2" t="s">
        <v>471</v>
      </c>
      <c r="B246" s="2" t="s">
        <v>40</v>
      </c>
      <c r="C246" s="2" t="s">
        <v>472</v>
      </c>
      <c r="D246" s="2" t="s">
        <v>16</v>
      </c>
      <c r="E246" s="2" t="s">
        <v>17</v>
      </c>
      <c r="F246" s="2">
        <v>4134.0</v>
      </c>
      <c r="G246" s="2">
        <v>824.0</v>
      </c>
      <c r="H246" s="2">
        <v>99.0</v>
      </c>
      <c r="I246" s="2">
        <v>41340.0</v>
      </c>
      <c r="J246" s="2">
        <v>41050.0</v>
      </c>
      <c r="K246" s="2">
        <v>177.0</v>
      </c>
      <c r="L246" s="2" t="s">
        <v>24</v>
      </c>
      <c r="M246" s="2" t="s">
        <v>25</v>
      </c>
    </row>
    <row r="247" ht="14.25" customHeight="1">
      <c r="A247" s="2" t="s">
        <v>473</v>
      </c>
      <c r="B247" s="2" t="s">
        <v>40</v>
      </c>
      <c r="C247" s="2" t="s">
        <v>474</v>
      </c>
      <c r="D247" s="2" t="s">
        <v>49</v>
      </c>
      <c r="E247" s="2" t="s">
        <v>50</v>
      </c>
      <c r="F247" s="2">
        <v>400.0</v>
      </c>
      <c r="G247" s="2">
        <v>680.0</v>
      </c>
      <c r="H247" s="2">
        <v>434.0</v>
      </c>
      <c r="I247" s="2">
        <v>6400.0</v>
      </c>
      <c r="J247" s="2">
        <v>5472.0</v>
      </c>
      <c r="K247" s="2">
        <v>160.0</v>
      </c>
      <c r="L247" s="2" t="s">
        <v>102</v>
      </c>
      <c r="M247" s="2" t="s">
        <v>25</v>
      </c>
    </row>
    <row r="248" ht="14.25" customHeight="1">
      <c r="A248" s="2" t="s">
        <v>475</v>
      </c>
      <c r="B248" s="2" t="s">
        <v>40</v>
      </c>
      <c r="C248" s="2" t="s">
        <v>476</v>
      </c>
      <c r="D248" s="2" t="s">
        <v>16</v>
      </c>
      <c r="E248" s="2" t="s">
        <v>17</v>
      </c>
      <c r="F248" s="2">
        <v>3960.0</v>
      </c>
      <c r="G248" s="2">
        <v>266.0</v>
      </c>
      <c r="H248" s="2">
        <v>8.0</v>
      </c>
      <c r="I248" s="2">
        <v>35640.0</v>
      </c>
      <c r="J248" s="2">
        <v>34850.0</v>
      </c>
      <c r="K248" s="2">
        <v>208.0</v>
      </c>
      <c r="L248" s="2" t="s">
        <v>105</v>
      </c>
      <c r="M248" s="2" t="s">
        <v>55</v>
      </c>
    </row>
    <row r="249" ht="14.25" customHeight="1">
      <c r="A249" s="2" t="s">
        <v>477</v>
      </c>
      <c r="B249" s="2" t="s">
        <v>40</v>
      </c>
      <c r="C249" s="2" t="s">
        <v>57</v>
      </c>
      <c r="D249" s="2" t="s">
        <v>33</v>
      </c>
      <c r="E249" s="2" t="s">
        <v>34</v>
      </c>
      <c r="F249" s="2">
        <v>886.0</v>
      </c>
      <c r="G249" s="2">
        <v>126.0</v>
      </c>
      <c r="H249" s="2">
        <v>153.0</v>
      </c>
      <c r="I249" s="2">
        <v>4430.0</v>
      </c>
      <c r="J249" s="2">
        <v>4037.0</v>
      </c>
      <c r="K249" s="2">
        <v>212.0</v>
      </c>
      <c r="L249" s="2" t="s">
        <v>18</v>
      </c>
      <c r="M249" s="2" t="s">
        <v>38</v>
      </c>
    </row>
    <row r="250" ht="14.25" customHeight="1">
      <c r="A250" s="2" t="s">
        <v>478</v>
      </c>
      <c r="B250" s="2" t="s">
        <v>14</v>
      </c>
      <c r="C250" s="2" t="s">
        <v>424</v>
      </c>
      <c r="D250" s="2" t="s">
        <v>49</v>
      </c>
      <c r="E250" s="2" t="s">
        <v>50</v>
      </c>
      <c r="F250" s="2">
        <v>827.0</v>
      </c>
      <c r="G250" s="2">
        <v>77.0</v>
      </c>
      <c r="H250" s="2">
        <v>402.0</v>
      </c>
      <c r="I250" s="2">
        <v>14886.0</v>
      </c>
      <c r="J250" s="2">
        <v>14129.0</v>
      </c>
      <c r="K250" s="2">
        <v>254.0</v>
      </c>
      <c r="L250" s="2" t="s">
        <v>58</v>
      </c>
      <c r="M250" s="2" t="s">
        <v>25</v>
      </c>
    </row>
    <row r="251" ht="14.25" customHeight="1">
      <c r="A251" s="2" t="s">
        <v>479</v>
      </c>
      <c r="B251" s="2" t="s">
        <v>40</v>
      </c>
      <c r="C251" s="2" t="s">
        <v>168</v>
      </c>
      <c r="D251" s="2" t="s">
        <v>16</v>
      </c>
      <c r="E251" s="2" t="s">
        <v>17</v>
      </c>
      <c r="F251" s="2">
        <v>3813.0</v>
      </c>
      <c r="G251" s="2">
        <v>935.0</v>
      </c>
      <c r="H251" s="2">
        <v>274.0</v>
      </c>
      <c r="I251" s="2">
        <v>68634.0</v>
      </c>
      <c r="J251" s="2">
        <v>68488.0</v>
      </c>
      <c r="K251" s="2">
        <v>251.0</v>
      </c>
      <c r="L251" s="2" t="s">
        <v>178</v>
      </c>
      <c r="M251" s="2" t="s">
        <v>19</v>
      </c>
    </row>
    <row r="252" ht="14.25" customHeight="1">
      <c r="A252" s="2" t="s">
        <v>480</v>
      </c>
      <c r="B252" s="2" t="s">
        <v>31</v>
      </c>
      <c r="C252" s="2" t="s">
        <v>481</v>
      </c>
      <c r="D252" s="2" t="s">
        <v>42</v>
      </c>
      <c r="E252" s="2" t="s">
        <v>43</v>
      </c>
      <c r="F252" s="2">
        <v>1377.0</v>
      </c>
      <c r="G252" s="2">
        <v>796.0</v>
      </c>
      <c r="H252" s="2">
        <v>387.0</v>
      </c>
      <c r="I252" s="2">
        <v>22032.0</v>
      </c>
      <c r="J252" s="2">
        <v>21869.0</v>
      </c>
      <c r="K252" s="2">
        <v>189.0</v>
      </c>
      <c r="L252" s="2" t="s">
        <v>144</v>
      </c>
      <c r="M252" s="2" t="s">
        <v>38</v>
      </c>
    </row>
    <row r="253" ht="14.25" customHeight="1">
      <c r="A253" s="2" t="s">
        <v>482</v>
      </c>
      <c r="B253" s="2" t="s">
        <v>40</v>
      </c>
      <c r="C253" s="2" t="s">
        <v>359</v>
      </c>
      <c r="D253" s="2" t="s">
        <v>42</v>
      </c>
      <c r="E253" s="2" t="s">
        <v>43</v>
      </c>
      <c r="F253" s="2">
        <v>2089.0</v>
      </c>
      <c r="G253" s="2">
        <v>476.0</v>
      </c>
      <c r="H253" s="2">
        <v>69.0</v>
      </c>
      <c r="I253" s="2">
        <v>16712.0</v>
      </c>
      <c r="J253" s="2">
        <v>16309.0</v>
      </c>
      <c r="K253" s="2">
        <v>64.0</v>
      </c>
      <c r="L253" s="2" t="s">
        <v>61</v>
      </c>
      <c r="M253" s="2" t="s">
        <v>19</v>
      </c>
    </row>
    <row r="254" ht="14.25" customHeight="1">
      <c r="A254" s="2" t="s">
        <v>483</v>
      </c>
      <c r="B254" s="2" t="s">
        <v>14</v>
      </c>
      <c r="C254" s="2" t="s">
        <v>484</v>
      </c>
      <c r="D254" s="2" t="s">
        <v>16</v>
      </c>
      <c r="E254" s="2" t="s">
        <v>17</v>
      </c>
      <c r="F254" s="2">
        <v>3791.0</v>
      </c>
      <c r="G254" s="2">
        <v>593.0</v>
      </c>
      <c r="H254" s="2">
        <v>228.0</v>
      </c>
      <c r="I254" s="2">
        <v>53074.0</v>
      </c>
      <c r="J254" s="2">
        <v>52613.0</v>
      </c>
      <c r="K254" s="2">
        <v>205.0</v>
      </c>
      <c r="L254" s="2" t="s">
        <v>162</v>
      </c>
      <c r="M254" s="2" t="s">
        <v>19</v>
      </c>
    </row>
    <row r="255" ht="14.25" customHeight="1">
      <c r="A255" s="2" t="s">
        <v>485</v>
      </c>
      <c r="B255" s="2" t="s">
        <v>14</v>
      </c>
      <c r="C255" s="2" t="s">
        <v>486</v>
      </c>
      <c r="D255" s="2" t="s">
        <v>49</v>
      </c>
      <c r="E255" s="2" t="s">
        <v>50</v>
      </c>
      <c r="F255" s="2">
        <v>2692.0</v>
      </c>
      <c r="G255" s="2">
        <v>115.0</v>
      </c>
      <c r="H255" s="2">
        <v>64.0</v>
      </c>
      <c r="I255" s="2">
        <v>21536.0</v>
      </c>
      <c r="J255" s="2">
        <v>21120.0</v>
      </c>
      <c r="K255" s="2">
        <v>224.0</v>
      </c>
      <c r="L255" s="2" t="s">
        <v>178</v>
      </c>
      <c r="M255" s="2" t="s">
        <v>55</v>
      </c>
    </row>
    <row r="256" ht="14.25" customHeight="1">
      <c r="A256" s="2" t="s">
        <v>487</v>
      </c>
      <c r="B256" s="2" t="s">
        <v>40</v>
      </c>
      <c r="C256" s="2" t="s">
        <v>21</v>
      </c>
      <c r="D256" s="2" t="s">
        <v>33</v>
      </c>
      <c r="E256" s="2" t="s">
        <v>34</v>
      </c>
      <c r="F256" s="2">
        <v>3767.0</v>
      </c>
      <c r="G256" s="2">
        <v>514.0</v>
      </c>
      <c r="H256" s="2">
        <v>238.0</v>
      </c>
      <c r="I256" s="2">
        <v>37670.0</v>
      </c>
      <c r="J256" s="2">
        <v>36807.0</v>
      </c>
      <c r="K256" s="2">
        <v>226.0</v>
      </c>
      <c r="L256" s="2" t="s">
        <v>162</v>
      </c>
      <c r="M256" s="2" t="s">
        <v>19</v>
      </c>
    </row>
    <row r="257" ht="14.25" customHeight="1">
      <c r="A257" s="2" t="s">
        <v>488</v>
      </c>
      <c r="B257" s="2" t="s">
        <v>27</v>
      </c>
      <c r="C257" s="2" t="s">
        <v>247</v>
      </c>
      <c r="D257" s="2" t="s">
        <v>42</v>
      </c>
      <c r="E257" s="2" t="s">
        <v>43</v>
      </c>
      <c r="F257" s="2">
        <v>2143.0</v>
      </c>
      <c r="G257" s="2">
        <v>12.0</v>
      </c>
      <c r="H257" s="2">
        <v>204.0</v>
      </c>
      <c r="I257" s="2">
        <v>40717.0</v>
      </c>
      <c r="J257" s="2">
        <v>40125.0</v>
      </c>
      <c r="K257" s="2">
        <v>248.0</v>
      </c>
      <c r="L257" s="2" t="s">
        <v>127</v>
      </c>
      <c r="M257" s="2" t="s">
        <v>55</v>
      </c>
    </row>
    <row r="258" ht="14.25" customHeight="1">
      <c r="A258" s="2" t="s">
        <v>489</v>
      </c>
      <c r="B258" s="2" t="s">
        <v>40</v>
      </c>
      <c r="C258" s="2" t="s">
        <v>288</v>
      </c>
      <c r="D258" s="2" t="s">
        <v>49</v>
      </c>
      <c r="E258" s="2" t="s">
        <v>50</v>
      </c>
      <c r="F258" s="2">
        <v>3090.0</v>
      </c>
      <c r="G258" s="2">
        <v>697.0</v>
      </c>
      <c r="H258" s="2">
        <v>164.0</v>
      </c>
      <c r="I258" s="2">
        <v>49440.0</v>
      </c>
      <c r="J258" s="2">
        <v>48524.0</v>
      </c>
      <c r="K258" s="2">
        <v>25.0</v>
      </c>
      <c r="L258" s="2" t="s">
        <v>264</v>
      </c>
      <c r="M258" s="2" t="s">
        <v>55</v>
      </c>
    </row>
    <row r="259" ht="14.25" customHeight="1">
      <c r="A259" s="2" t="s">
        <v>490</v>
      </c>
      <c r="B259" s="2" t="s">
        <v>31</v>
      </c>
      <c r="C259" s="2" t="s">
        <v>491</v>
      </c>
      <c r="D259" s="2" t="s">
        <v>33</v>
      </c>
      <c r="E259" s="2" t="s">
        <v>34</v>
      </c>
      <c r="F259" s="2">
        <v>3601.0</v>
      </c>
      <c r="G259" s="2">
        <v>695.0</v>
      </c>
      <c r="H259" s="2">
        <v>75.0</v>
      </c>
      <c r="I259" s="2">
        <v>21606.0</v>
      </c>
      <c r="J259" s="2">
        <v>21454.0</v>
      </c>
      <c r="K259" s="2">
        <v>172.0</v>
      </c>
      <c r="L259" s="2" t="s">
        <v>58</v>
      </c>
      <c r="M259" s="2" t="s">
        <v>25</v>
      </c>
    </row>
    <row r="260" ht="14.25" customHeight="1">
      <c r="A260" s="2" t="s">
        <v>492</v>
      </c>
      <c r="B260" s="2" t="s">
        <v>40</v>
      </c>
      <c r="C260" s="2" t="s">
        <v>244</v>
      </c>
      <c r="D260" s="2" t="s">
        <v>22</v>
      </c>
      <c r="E260" s="2" t="s">
        <v>23</v>
      </c>
      <c r="F260" s="2">
        <v>562.0</v>
      </c>
      <c r="G260" s="2">
        <v>158.0</v>
      </c>
      <c r="H260" s="2">
        <v>149.0</v>
      </c>
      <c r="I260" s="2">
        <v>3372.0</v>
      </c>
      <c r="J260" s="2">
        <v>2940.0</v>
      </c>
      <c r="K260" s="2">
        <v>93.0</v>
      </c>
      <c r="L260" s="2" t="s">
        <v>127</v>
      </c>
      <c r="M260" s="2" t="s">
        <v>55</v>
      </c>
    </row>
    <row r="261" ht="14.25" customHeight="1">
      <c r="A261" s="2" t="s">
        <v>493</v>
      </c>
      <c r="B261" s="2" t="s">
        <v>31</v>
      </c>
      <c r="C261" s="2" t="s">
        <v>494</v>
      </c>
      <c r="D261" s="2" t="s">
        <v>33</v>
      </c>
      <c r="E261" s="2" t="s">
        <v>34</v>
      </c>
      <c r="F261" s="2">
        <v>4332.0</v>
      </c>
      <c r="G261" s="2">
        <v>771.0</v>
      </c>
      <c r="H261" s="2">
        <v>219.0</v>
      </c>
      <c r="I261" s="2">
        <v>60648.0</v>
      </c>
      <c r="J261" s="2">
        <v>60397.0</v>
      </c>
      <c r="K261" s="2">
        <v>10.0</v>
      </c>
      <c r="L261" s="2" t="s">
        <v>24</v>
      </c>
      <c r="M261" s="2" t="s">
        <v>38</v>
      </c>
    </row>
    <row r="262" ht="14.25" customHeight="1">
      <c r="A262" s="2" t="s">
        <v>495</v>
      </c>
      <c r="B262" s="2" t="s">
        <v>31</v>
      </c>
      <c r="C262" s="2" t="s">
        <v>496</v>
      </c>
      <c r="D262" s="2" t="s">
        <v>49</v>
      </c>
      <c r="E262" s="2" t="s">
        <v>50</v>
      </c>
      <c r="F262" s="2">
        <v>4853.0</v>
      </c>
      <c r="G262" s="2">
        <v>837.0</v>
      </c>
      <c r="H262" s="2">
        <v>340.0</v>
      </c>
      <c r="I262" s="2">
        <v>72795.0</v>
      </c>
      <c r="J262" s="2">
        <v>72237.0</v>
      </c>
      <c r="K262" s="2">
        <v>170.0</v>
      </c>
      <c r="L262" s="2" t="s">
        <v>18</v>
      </c>
      <c r="M262" s="2" t="s">
        <v>25</v>
      </c>
    </row>
    <row r="263" ht="14.25" customHeight="1">
      <c r="A263" s="2" t="s">
        <v>497</v>
      </c>
      <c r="B263" s="2" t="s">
        <v>27</v>
      </c>
      <c r="C263" s="2" t="s">
        <v>465</v>
      </c>
      <c r="D263" s="2" t="s">
        <v>49</v>
      </c>
      <c r="E263" s="2" t="s">
        <v>50</v>
      </c>
      <c r="F263" s="2">
        <v>1206.0</v>
      </c>
      <c r="G263" s="2">
        <v>238.0</v>
      </c>
      <c r="H263" s="2">
        <v>36.0</v>
      </c>
      <c r="I263" s="2">
        <v>9648.0</v>
      </c>
      <c r="J263" s="2">
        <v>9417.0</v>
      </c>
      <c r="K263" s="2">
        <v>237.0</v>
      </c>
      <c r="L263" s="2" t="s">
        <v>82</v>
      </c>
      <c r="M263" s="2" t="s">
        <v>38</v>
      </c>
    </row>
    <row r="264" ht="14.25" customHeight="1">
      <c r="A264" s="2" t="s">
        <v>498</v>
      </c>
      <c r="B264" s="2" t="s">
        <v>31</v>
      </c>
      <c r="C264" s="2" t="s">
        <v>499</v>
      </c>
      <c r="D264" s="2" t="s">
        <v>16</v>
      </c>
      <c r="E264" s="2" t="s">
        <v>17</v>
      </c>
      <c r="F264" s="2">
        <v>2603.0</v>
      </c>
      <c r="G264" s="2">
        <v>690.0</v>
      </c>
      <c r="H264" s="2">
        <v>205.0</v>
      </c>
      <c r="I264" s="2">
        <v>13015.0</v>
      </c>
      <c r="J264" s="2">
        <v>12130.0</v>
      </c>
      <c r="K264" s="2">
        <v>20.0</v>
      </c>
      <c r="L264" s="2" t="s">
        <v>44</v>
      </c>
      <c r="M264" s="2" t="s">
        <v>19</v>
      </c>
    </row>
    <row r="265" ht="14.25" customHeight="1">
      <c r="A265" s="2" t="s">
        <v>500</v>
      </c>
      <c r="B265" s="2" t="s">
        <v>14</v>
      </c>
      <c r="C265" s="2" t="s">
        <v>501</v>
      </c>
      <c r="D265" s="2" t="s">
        <v>49</v>
      </c>
      <c r="E265" s="2" t="s">
        <v>50</v>
      </c>
      <c r="F265" s="2">
        <v>59.0</v>
      </c>
      <c r="G265" s="2">
        <v>163.0</v>
      </c>
      <c r="H265" s="2">
        <v>93.0</v>
      </c>
      <c r="I265" s="2">
        <v>590.0</v>
      </c>
      <c r="J265" s="2">
        <v>475.0</v>
      </c>
      <c r="K265" s="2">
        <v>293.0</v>
      </c>
      <c r="L265" s="2" t="s">
        <v>44</v>
      </c>
      <c r="M265" s="2" t="s">
        <v>55</v>
      </c>
    </row>
    <row r="266" ht="14.25" customHeight="1">
      <c r="A266" s="2" t="s">
        <v>502</v>
      </c>
      <c r="B266" s="2" t="s">
        <v>14</v>
      </c>
      <c r="C266" s="2" t="s">
        <v>503</v>
      </c>
      <c r="D266" s="2" t="s">
        <v>42</v>
      </c>
      <c r="E266" s="2" t="s">
        <v>43</v>
      </c>
      <c r="F266" s="2">
        <v>1877.0</v>
      </c>
      <c r="G266" s="2">
        <v>745.0</v>
      </c>
      <c r="H266" s="2">
        <v>225.0</v>
      </c>
      <c r="I266" s="2">
        <v>11262.0</v>
      </c>
      <c r="J266" s="2">
        <v>10967.0</v>
      </c>
      <c r="K266" s="2">
        <v>41.0</v>
      </c>
      <c r="L266" s="2" t="s">
        <v>61</v>
      </c>
      <c r="M266" s="2" t="s">
        <v>19</v>
      </c>
    </row>
    <row r="267" ht="14.25" customHeight="1">
      <c r="A267" s="2" t="s">
        <v>504</v>
      </c>
      <c r="B267" s="2" t="s">
        <v>40</v>
      </c>
      <c r="C267" s="2" t="s">
        <v>126</v>
      </c>
      <c r="D267" s="2" t="s">
        <v>33</v>
      </c>
      <c r="E267" s="2" t="s">
        <v>34</v>
      </c>
      <c r="F267" s="2">
        <v>4182.0</v>
      </c>
      <c r="G267" s="2">
        <v>640.0</v>
      </c>
      <c r="H267" s="2">
        <v>240.0</v>
      </c>
      <c r="I267" s="2">
        <v>50184.0</v>
      </c>
      <c r="J267" s="2">
        <v>49351.0</v>
      </c>
      <c r="K267" s="2">
        <v>10.0</v>
      </c>
      <c r="L267" s="2" t="s">
        <v>82</v>
      </c>
      <c r="M267" s="2" t="s">
        <v>38</v>
      </c>
    </row>
    <row r="268" ht="14.25" customHeight="1">
      <c r="A268" s="2" t="s">
        <v>505</v>
      </c>
      <c r="B268" s="2" t="s">
        <v>14</v>
      </c>
      <c r="C268" s="2" t="s">
        <v>391</v>
      </c>
      <c r="D268" s="2" t="s">
        <v>16</v>
      </c>
      <c r="E268" s="2" t="s">
        <v>17</v>
      </c>
      <c r="F268" s="2">
        <v>4187.0</v>
      </c>
      <c r="G268" s="2">
        <v>66.0</v>
      </c>
      <c r="H268" s="2">
        <v>31.0</v>
      </c>
      <c r="I268" s="2">
        <v>66992.0</v>
      </c>
      <c r="J268" s="2">
        <v>66614.0</v>
      </c>
      <c r="K268" s="2">
        <v>62.0</v>
      </c>
      <c r="L268" s="2" t="s">
        <v>58</v>
      </c>
      <c r="M268" s="2" t="s">
        <v>55</v>
      </c>
    </row>
    <row r="269" ht="14.25" customHeight="1">
      <c r="A269" s="2" t="s">
        <v>506</v>
      </c>
      <c r="B269" s="2" t="s">
        <v>31</v>
      </c>
      <c r="C269" s="2" t="s">
        <v>507</v>
      </c>
      <c r="D269" s="2" t="s">
        <v>16</v>
      </c>
      <c r="E269" s="2" t="s">
        <v>17</v>
      </c>
      <c r="F269" s="2">
        <v>4579.0</v>
      </c>
      <c r="G269" s="2">
        <v>125.0</v>
      </c>
      <c r="H269" s="2">
        <v>300.0</v>
      </c>
      <c r="I269" s="2">
        <v>59527.0</v>
      </c>
      <c r="J269" s="2">
        <v>59400.0</v>
      </c>
      <c r="K269" s="2">
        <v>269.0</v>
      </c>
      <c r="L269" s="2" t="s">
        <v>37</v>
      </c>
      <c r="M269" s="2" t="s">
        <v>19</v>
      </c>
    </row>
    <row r="270" ht="14.25" customHeight="1">
      <c r="A270" s="2" t="s">
        <v>508</v>
      </c>
      <c r="B270" s="2" t="s">
        <v>31</v>
      </c>
      <c r="C270" s="2" t="s">
        <v>509</v>
      </c>
      <c r="D270" s="2" t="s">
        <v>69</v>
      </c>
      <c r="E270" s="2" t="s">
        <v>70</v>
      </c>
      <c r="F270" s="2">
        <v>4561.0</v>
      </c>
      <c r="G270" s="2">
        <v>51.0</v>
      </c>
      <c r="H270" s="2">
        <v>441.0</v>
      </c>
      <c r="I270" s="2">
        <v>22805.0</v>
      </c>
      <c r="J270" s="2">
        <v>21890.0</v>
      </c>
      <c r="K270" s="2">
        <v>45.0</v>
      </c>
      <c r="L270" s="2" t="s">
        <v>58</v>
      </c>
      <c r="M270" s="2" t="s">
        <v>25</v>
      </c>
    </row>
    <row r="271" ht="14.25" customHeight="1">
      <c r="A271" s="2" t="s">
        <v>510</v>
      </c>
      <c r="B271" s="2" t="s">
        <v>27</v>
      </c>
      <c r="C271" s="2" t="s">
        <v>409</v>
      </c>
      <c r="D271" s="2" t="s">
        <v>16</v>
      </c>
      <c r="E271" s="2" t="s">
        <v>17</v>
      </c>
      <c r="F271" s="2">
        <v>3774.0</v>
      </c>
      <c r="G271" s="2">
        <v>239.0</v>
      </c>
      <c r="H271" s="2">
        <v>39.0</v>
      </c>
      <c r="I271" s="2">
        <v>60384.0</v>
      </c>
      <c r="J271" s="2">
        <v>59490.0</v>
      </c>
      <c r="K271" s="2">
        <v>241.0</v>
      </c>
      <c r="L271" s="2" t="s">
        <v>77</v>
      </c>
      <c r="M271" s="2" t="s">
        <v>38</v>
      </c>
    </row>
    <row r="272" ht="14.25" customHeight="1">
      <c r="A272" s="2" t="s">
        <v>511</v>
      </c>
      <c r="B272" s="2" t="s">
        <v>31</v>
      </c>
      <c r="C272" s="2" t="s">
        <v>512</v>
      </c>
      <c r="D272" s="2" t="s">
        <v>69</v>
      </c>
      <c r="E272" s="2" t="s">
        <v>70</v>
      </c>
      <c r="F272" s="2">
        <v>3575.0</v>
      </c>
      <c r="G272" s="2">
        <v>749.0</v>
      </c>
      <c r="H272" s="2">
        <v>111.0</v>
      </c>
      <c r="I272" s="2">
        <v>21450.0</v>
      </c>
      <c r="J272" s="2">
        <v>20785.0</v>
      </c>
      <c r="K272" s="2">
        <v>195.0</v>
      </c>
      <c r="L272" s="2" t="s">
        <v>77</v>
      </c>
      <c r="M272" s="2" t="s">
        <v>38</v>
      </c>
    </row>
    <row r="273" ht="14.25" customHeight="1">
      <c r="A273" s="2" t="s">
        <v>513</v>
      </c>
      <c r="B273" s="2" t="s">
        <v>31</v>
      </c>
      <c r="C273" s="2" t="s">
        <v>481</v>
      </c>
      <c r="D273" s="2" t="s">
        <v>22</v>
      </c>
      <c r="E273" s="2" t="s">
        <v>23</v>
      </c>
      <c r="F273" s="2">
        <v>4941.0</v>
      </c>
      <c r="G273" s="2">
        <v>414.0</v>
      </c>
      <c r="H273" s="2">
        <v>266.0</v>
      </c>
      <c r="I273" s="2">
        <v>39528.0</v>
      </c>
      <c r="J273" s="2">
        <v>39154.0</v>
      </c>
      <c r="K273" s="2">
        <v>217.0</v>
      </c>
      <c r="L273" s="2" t="s">
        <v>18</v>
      </c>
      <c r="M273" s="2" t="s">
        <v>25</v>
      </c>
    </row>
    <row r="274" ht="14.25" customHeight="1">
      <c r="A274" s="2" t="s">
        <v>514</v>
      </c>
      <c r="B274" s="2" t="s">
        <v>27</v>
      </c>
      <c r="C274" s="2" t="s">
        <v>515</v>
      </c>
      <c r="D274" s="2" t="s">
        <v>33</v>
      </c>
      <c r="E274" s="2" t="s">
        <v>34</v>
      </c>
      <c r="F274" s="2">
        <v>3641.0</v>
      </c>
      <c r="G274" s="2">
        <v>226.0</v>
      </c>
      <c r="H274" s="2">
        <v>46.0</v>
      </c>
      <c r="I274" s="2">
        <v>40051.0</v>
      </c>
      <c r="J274" s="2">
        <v>39319.0</v>
      </c>
      <c r="K274" s="2">
        <v>296.0</v>
      </c>
      <c r="L274" s="2" t="s">
        <v>44</v>
      </c>
      <c r="M274" s="2" t="s">
        <v>25</v>
      </c>
    </row>
    <row r="275" ht="14.25" customHeight="1">
      <c r="A275" s="2" t="s">
        <v>516</v>
      </c>
      <c r="B275" s="2" t="s">
        <v>14</v>
      </c>
      <c r="C275" s="2" t="s">
        <v>331</v>
      </c>
      <c r="D275" s="2" t="s">
        <v>42</v>
      </c>
      <c r="E275" s="2" t="s">
        <v>43</v>
      </c>
      <c r="F275" s="2">
        <v>3535.0</v>
      </c>
      <c r="G275" s="2">
        <v>494.0</v>
      </c>
      <c r="H275" s="2">
        <v>152.0</v>
      </c>
      <c r="I275" s="2">
        <v>53025.0</v>
      </c>
      <c r="J275" s="2">
        <v>52791.0</v>
      </c>
      <c r="K275" s="2">
        <v>44.0</v>
      </c>
      <c r="L275" s="2" t="s">
        <v>214</v>
      </c>
      <c r="M275" s="2" t="s">
        <v>25</v>
      </c>
    </row>
    <row r="276" ht="14.25" customHeight="1">
      <c r="A276" s="2" t="s">
        <v>517</v>
      </c>
      <c r="B276" s="2" t="s">
        <v>40</v>
      </c>
      <c r="C276" s="2" t="s">
        <v>491</v>
      </c>
      <c r="D276" s="2" t="s">
        <v>16</v>
      </c>
      <c r="E276" s="2" t="s">
        <v>17</v>
      </c>
      <c r="F276" s="2">
        <v>1741.0</v>
      </c>
      <c r="G276" s="2">
        <v>831.0</v>
      </c>
      <c r="H276" s="2">
        <v>345.0</v>
      </c>
      <c r="I276" s="2">
        <v>17410.0</v>
      </c>
      <c r="J276" s="2">
        <v>16844.0</v>
      </c>
      <c r="K276" s="2">
        <v>58.0</v>
      </c>
      <c r="L276" s="2" t="s">
        <v>71</v>
      </c>
      <c r="M276" s="2" t="s">
        <v>55</v>
      </c>
    </row>
    <row r="277" ht="14.25" customHeight="1">
      <c r="A277" s="2" t="s">
        <v>518</v>
      </c>
      <c r="B277" s="2" t="s">
        <v>14</v>
      </c>
      <c r="C277" s="2" t="s">
        <v>519</v>
      </c>
      <c r="D277" s="2" t="s">
        <v>42</v>
      </c>
      <c r="E277" s="2" t="s">
        <v>43</v>
      </c>
      <c r="F277" s="2">
        <v>1556.0</v>
      </c>
      <c r="G277" s="2">
        <v>195.0</v>
      </c>
      <c r="H277" s="2">
        <v>131.0</v>
      </c>
      <c r="I277" s="2">
        <v>9336.0</v>
      </c>
      <c r="J277" s="2">
        <v>8875.0</v>
      </c>
      <c r="K277" s="2">
        <v>137.0</v>
      </c>
      <c r="L277" s="2" t="s">
        <v>24</v>
      </c>
      <c r="M277" s="2" t="s">
        <v>25</v>
      </c>
    </row>
    <row r="278" ht="14.25" customHeight="1">
      <c r="A278" s="2" t="s">
        <v>520</v>
      </c>
      <c r="B278" s="2" t="s">
        <v>40</v>
      </c>
      <c r="C278" s="2" t="s">
        <v>288</v>
      </c>
      <c r="D278" s="2" t="s">
        <v>49</v>
      </c>
      <c r="E278" s="2" t="s">
        <v>50</v>
      </c>
      <c r="F278" s="2">
        <v>4236.0</v>
      </c>
      <c r="G278" s="2">
        <v>711.0</v>
      </c>
      <c r="H278" s="2">
        <v>298.0</v>
      </c>
      <c r="I278" s="2">
        <v>21180.0</v>
      </c>
      <c r="J278" s="2">
        <v>20516.0</v>
      </c>
      <c r="K278" s="2">
        <v>238.0</v>
      </c>
      <c r="L278" s="2" t="s">
        <v>209</v>
      </c>
      <c r="M278" s="2" t="s">
        <v>55</v>
      </c>
    </row>
    <row r="279" ht="14.25" customHeight="1">
      <c r="A279" s="2" t="s">
        <v>521</v>
      </c>
      <c r="B279" s="2" t="s">
        <v>14</v>
      </c>
      <c r="C279" s="2" t="s">
        <v>522</v>
      </c>
      <c r="D279" s="2" t="s">
        <v>22</v>
      </c>
      <c r="E279" s="2" t="s">
        <v>23</v>
      </c>
      <c r="F279" s="2">
        <v>4516.0</v>
      </c>
      <c r="G279" s="2">
        <v>836.0</v>
      </c>
      <c r="H279" s="2">
        <v>169.0</v>
      </c>
      <c r="I279" s="2">
        <v>49676.0</v>
      </c>
      <c r="J279" s="2">
        <v>49257.0</v>
      </c>
      <c r="K279" s="2">
        <v>282.0</v>
      </c>
      <c r="L279" s="2" t="s">
        <v>44</v>
      </c>
      <c r="M279" s="2" t="s">
        <v>19</v>
      </c>
    </row>
    <row r="280" ht="14.25" customHeight="1">
      <c r="A280" s="2" t="s">
        <v>523</v>
      </c>
      <c r="B280" s="2" t="s">
        <v>27</v>
      </c>
      <c r="C280" s="2" t="s">
        <v>191</v>
      </c>
      <c r="D280" s="2" t="s">
        <v>49</v>
      </c>
      <c r="E280" s="2" t="s">
        <v>50</v>
      </c>
      <c r="F280" s="2">
        <v>4905.0</v>
      </c>
      <c r="G280" s="2">
        <v>845.0</v>
      </c>
      <c r="H280" s="2">
        <v>129.0</v>
      </c>
      <c r="I280" s="2">
        <v>98100.0</v>
      </c>
      <c r="J280" s="2">
        <v>97772.0</v>
      </c>
      <c r="K280" s="2">
        <v>279.0</v>
      </c>
      <c r="L280" s="2" t="s">
        <v>44</v>
      </c>
      <c r="M280" s="2" t="s">
        <v>55</v>
      </c>
    </row>
    <row r="281" ht="14.25" customHeight="1">
      <c r="A281" s="2" t="s">
        <v>524</v>
      </c>
      <c r="B281" s="2" t="s">
        <v>27</v>
      </c>
      <c r="C281" s="2" t="s">
        <v>164</v>
      </c>
      <c r="D281" s="2" t="s">
        <v>69</v>
      </c>
      <c r="E281" s="2" t="s">
        <v>70</v>
      </c>
      <c r="F281" s="2">
        <v>4275.0</v>
      </c>
      <c r="G281" s="2">
        <v>680.0</v>
      </c>
      <c r="H281" s="2">
        <v>385.0</v>
      </c>
      <c r="I281" s="2">
        <v>64125.0</v>
      </c>
      <c r="J281" s="2">
        <v>63650.0</v>
      </c>
      <c r="K281" s="2">
        <v>104.0</v>
      </c>
      <c r="L281" s="2" t="s">
        <v>58</v>
      </c>
      <c r="M281" s="2" t="s">
        <v>55</v>
      </c>
    </row>
    <row r="282" ht="14.25" customHeight="1">
      <c r="A282" s="2" t="s">
        <v>525</v>
      </c>
      <c r="B282" s="2" t="s">
        <v>27</v>
      </c>
      <c r="C282" s="2" t="s">
        <v>526</v>
      </c>
      <c r="D282" s="2" t="s">
        <v>49</v>
      </c>
      <c r="E282" s="2" t="s">
        <v>50</v>
      </c>
      <c r="F282" s="2">
        <v>3166.0</v>
      </c>
      <c r="G282" s="2">
        <v>90.0</v>
      </c>
      <c r="H282" s="2">
        <v>341.0</v>
      </c>
      <c r="I282" s="2">
        <v>56988.0</v>
      </c>
      <c r="J282" s="2">
        <v>56125.0</v>
      </c>
      <c r="K282" s="2">
        <v>135.0</v>
      </c>
      <c r="L282" s="2" t="s">
        <v>146</v>
      </c>
      <c r="M282" s="2" t="s">
        <v>25</v>
      </c>
    </row>
    <row r="283" ht="14.25" customHeight="1">
      <c r="A283" s="2" t="s">
        <v>527</v>
      </c>
      <c r="B283" s="2" t="s">
        <v>31</v>
      </c>
      <c r="C283" s="2" t="s">
        <v>528</v>
      </c>
      <c r="D283" s="2" t="s">
        <v>69</v>
      </c>
      <c r="E283" s="2" t="s">
        <v>70</v>
      </c>
      <c r="F283" s="2">
        <v>1488.0</v>
      </c>
      <c r="G283" s="2">
        <v>417.0</v>
      </c>
      <c r="H283" s="2">
        <v>168.0</v>
      </c>
      <c r="I283" s="2">
        <v>19344.0</v>
      </c>
      <c r="J283" s="2">
        <v>18395.0</v>
      </c>
      <c r="K283" s="2">
        <v>30.0</v>
      </c>
      <c r="L283" s="2" t="s">
        <v>18</v>
      </c>
      <c r="M283" s="2" t="s">
        <v>19</v>
      </c>
    </row>
    <row r="284" ht="14.25" customHeight="1">
      <c r="A284" s="2" t="s">
        <v>529</v>
      </c>
      <c r="B284" s="2" t="s">
        <v>14</v>
      </c>
      <c r="C284" s="2" t="s">
        <v>530</v>
      </c>
      <c r="D284" s="2" t="s">
        <v>16</v>
      </c>
      <c r="E284" s="2" t="s">
        <v>17</v>
      </c>
      <c r="F284" s="2">
        <v>3367.0</v>
      </c>
      <c r="G284" s="2">
        <v>302.0</v>
      </c>
      <c r="H284" s="2">
        <v>57.0</v>
      </c>
      <c r="I284" s="2">
        <v>63973.0</v>
      </c>
      <c r="J284" s="2">
        <v>63789.0</v>
      </c>
      <c r="K284" s="2">
        <v>157.0</v>
      </c>
      <c r="L284" s="2" t="s">
        <v>105</v>
      </c>
      <c r="M284" s="2" t="s">
        <v>38</v>
      </c>
    </row>
    <row r="285" ht="14.25" customHeight="1">
      <c r="A285" s="2" t="s">
        <v>531</v>
      </c>
      <c r="B285" s="2" t="s">
        <v>14</v>
      </c>
      <c r="C285" s="2" t="s">
        <v>99</v>
      </c>
      <c r="D285" s="2" t="s">
        <v>22</v>
      </c>
      <c r="E285" s="2" t="s">
        <v>23</v>
      </c>
      <c r="F285" s="2">
        <v>571.0</v>
      </c>
      <c r="G285" s="2">
        <v>190.0</v>
      </c>
      <c r="H285" s="2">
        <v>352.0</v>
      </c>
      <c r="I285" s="2">
        <v>9707.0</v>
      </c>
      <c r="J285" s="2">
        <v>9418.0</v>
      </c>
      <c r="K285" s="2">
        <v>231.0</v>
      </c>
      <c r="L285" s="2" t="s">
        <v>77</v>
      </c>
      <c r="M285" s="2" t="s">
        <v>25</v>
      </c>
    </row>
    <row r="286" ht="14.25" customHeight="1">
      <c r="A286" s="2" t="s">
        <v>532</v>
      </c>
      <c r="B286" s="2" t="s">
        <v>27</v>
      </c>
      <c r="C286" s="2" t="s">
        <v>424</v>
      </c>
      <c r="D286" s="2" t="s">
        <v>22</v>
      </c>
      <c r="E286" s="2" t="s">
        <v>23</v>
      </c>
      <c r="F286" s="2">
        <v>4021.0</v>
      </c>
      <c r="G286" s="2">
        <v>794.0</v>
      </c>
      <c r="H286" s="2">
        <v>77.0</v>
      </c>
      <c r="I286" s="2">
        <v>36189.0</v>
      </c>
      <c r="J286" s="2">
        <v>35505.0</v>
      </c>
      <c r="K286" s="2">
        <v>174.0</v>
      </c>
      <c r="L286" s="2" t="s">
        <v>264</v>
      </c>
      <c r="M286" s="2" t="s">
        <v>19</v>
      </c>
    </row>
    <row r="287" ht="14.25" customHeight="1">
      <c r="A287" s="2" t="s">
        <v>533</v>
      </c>
      <c r="B287" s="2" t="s">
        <v>27</v>
      </c>
      <c r="C287" s="2" t="s">
        <v>534</v>
      </c>
      <c r="D287" s="2" t="s">
        <v>69</v>
      </c>
      <c r="E287" s="2" t="s">
        <v>70</v>
      </c>
      <c r="F287" s="2">
        <v>3389.0</v>
      </c>
      <c r="G287" s="2">
        <v>344.0</v>
      </c>
      <c r="H287" s="2">
        <v>229.0</v>
      </c>
      <c r="I287" s="2">
        <v>20334.0</v>
      </c>
      <c r="J287" s="2">
        <v>19443.0</v>
      </c>
      <c r="K287" s="2">
        <v>228.0</v>
      </c>
      <c r="L287" s="2" t="s">
        <v>29</v>
      </c>
      <c r="M287" s="2" t="s">
        <v>25</v>
      </c>
    </row>
    <row r="288" ht="14.25" customHeight="1">
      <c r="A288" s="2" t="s">
        <v>535</v>
      </c>
      <c r="B288" s="2" t="s">
        <v>31</v>
      </c>
      <c r="C288" s="2" t="s">
        <v>399</v>
      </c>
      <c r="D288" s="2" t="s">
        <v>16</v>
      </c>
      <c r="E288" s="2" t="s">
        <v>17</v>
      </c>
      <c r="F288" s="2">
        <v>1164.0</v>
      </c>
      <c r="G288" s="2">
        <v>616.0</v>
      </c>
      <c r="H288" s="2">
        <v>324.0</v>
      </c>
      <c r="I288" s="2">
        <v>6984.0</v>
      </c>
      <c r="J288" s="2">
        <v>6636.0</v>
      </c>
      <c r="K288" s="2">
        <v>82.0</v>
      </c>
      <c r="L288" s="2" t="s">
        <v>285</v>
      </c>
      <c r="M288" s="2" t="s">
        <v>38</v>
      </c>
    </row>
    <row r="289" ht="14.25" customHeight="1">
      <c r="A289" s="2" t="s">
        <v>536</v>
      </c>
      <c r="B289" s="2" t="s">
        <v>27</v>
      </c>
      <c r="C289" s="2" t="s">
        <v>537</v>
      </c>
      <c r="D289" s="2" t="s">
        <v>42</v>
      </c>
      <c r="E289" s="2" t="s">
        <v>43</v>
      </c>
      <c r="F289" s="2">
        <v>4780.0</v>
      </c>
      <c r="G289" s="2">
        <v>691.0</v>
      </c>
      <c r="H289" s="2">
        <v>380.0</v>
      </c>
      <c r="I289" s="2">
        <v>86040.0</v>
      </c>
      <c r="J289" s="2">
        <v>85743.0</v>
      </c>
      <c r="K289" s="2">
        <v>262.0</v>
      </c>
      <c r="L289" s="2" t="s">
        <v>71</v>
      </c>
      <c r="M289" s="2" t="s">
        <v>38</v>
      </c>
    </row>
    <row r="290" ht="14.25" customHeight="1">
      <c r="A290" s="2" t="s">
        <v>538</v>
      </c>
      <c r="B290" s="2" t="s">
        <v>40</v>
      </c>
      <c r="C290" s="2" t="s">
        <v>304</v>
      </c>
      <c r="D290" s="2" t="s">
        <v>42</v>
      </c>
      <c r="E290" s="2" t="s">
        <v>43</v>
      </c>
      <c r="F290" s="2">
        <v>2751.0</v>
      </c>
      <c r="G290" s="2">
        <v>33.0</v>
      </c>
      <c r="H290" s="2">
        <v>430.0</v>
      </c>
      <c r="I290" s="2">
        <v>44016.0</v>
      </c>
      <c r="J290" s="2">
        <v>43415.0</v>
      </c>
      <c r="K290" s="2">
        <v>129.0</v>
      </c>
      <c r="L290" s="2" t="s">
        <v>214</v>
      </c>
      <c r="M290" s="2" t="s">
        <v>25</v>
      </c>
    </row>
    <row r="291" ht="14.25" customHeight="1">
      <c r="A291" s="2" t="s">
        <v>539</v>
      </c>
      <c r="B291" s="2" t="s">
        <v>31</v>
      </c>
      <c r="C291" s="2" t="s">
        <v>540</v>
      </c>
      <c r="D291" s="2" t="s">
        <v>42</v>
      </c>
      <c r="E291" s="2" t="s">
        <v>43</v>
      </c>
      <c r="F291" s="2">
        <v>2107.0</v>
      </c>
      <c r="G291" s="2">
        <v>550.0</v>
      </c>
      <c r="H291" s="2">
        <v>349.0</v>
      </c>
      <c r="I291" s="2">
        <v>35819.0</v>
      </c>
      <c r="J291" s="2">
        <v>35340.0</v>
      </c>
      <c r="K291" s="2">
        <v>191.0</v>
      </c>
      <c r="L291" s="2" t="s">
        <v>44</v>
      </c>
      <c r="M291" s="2" t="s">
        <v>38</v>
      </c>
    </row>
    <row r="292" ht="14.25" customHeight="1">
      <c r="A292" s="2" t="s">
        <v>541</v>
      </c>
      <c r="B292" s="2" t="s">
        <v>40</v>
      </c>
      <c r="C292" s="2" t="s">
        <v>91</v>
      </c>
      <c r="D292" s="2" t="s">
        <v>69</v>
      </c>
      <c r="E292" s="2" t="s">
        <v>70</v>
      </c>
      <c r="F292" s="2">
        <v>4663.0</v>
      </c>
      <c r="G292" s="2">
        <v>145.0</v>
      </c>
      <c r="H292" s="2">
        <v>225.0</v>
      </c>
      <c r="I292" s="2">
        <v>69945.0</v>
      </c>
      <c r="J292" s="2">
        <v>69596.0</v>
      </c>
      <c r="K292" s="2">
        <v>35.0</v>
      </c>
      <c r="L292" s="2" t="s">
        <v>24</v>
      </c>
      <c r="M292" s="2" t="s">
        <v>25</v>
      </c>
    </row>
    <row r="293" ht="14.25" customHeight="1">
      <c r="A293" s="2" t="s">
        <v>542</v>
      </c>
      <c r="B293" s="2" t="s">
        <v>40</v>
      </c>
      <c r="C293" s="2" t="s">
        <v>543</v>
      </c>
      <c r="D293" s="2" t="s">
        <v>22</v>
      </c>
      <c r="E293" s="2" t="s">
        <v>23</v>
      </c>
      <c r="F293" s="2">
        <v>880.0</v>
      </c>
      <c r="G293" s="2">
        <v>297.0</v>
      </c>
      <c r="H293" s="2">
        <v>345.0</v>
      </c>
      <c r="I293" s="2">
        <v>12320.0</v>
      </c>
      <c r="J293" s="2">
        <v>11978.0</v>
      </c>
      <c r="K293" s="2">
        <v>238.0</v>
      </c>
      <c r="L293" s="2" t="s">
        <v>18</v>
      </c>
      <c r="M293" s="2" t="s">
        <v>25</v>
      </c>
    </row>
    <row r="294" ht="14.25" customHeight="1">
      <c r="A294" s="2" t="s">
        <v>544</v>
      </c>
      <c r="B294" s="2" t="s">
        <v>40</v>
      </c>
      <c r="C294" s="2" t="s">
        <v>545</v>
      </c>
      <c r="D294" s="2" t="s">
        <v>22</v>
      </c>
      <c r="E294" s="2" t="s">
        <v>23</v>
      </c>
      <c r="F294" s="2">
        <v>2634.0</v>
      </c>
      <c r="G294" s="2">
        <v>726.0</v>
      </c>
      <c r="H294" s="2">
        <v>241.0</v>
      </c>
      <c r="I294" s="2">
        <v>28974.0</v>
      </c>
      <c r="J294" s="2">
        <v>28102.0</v>
      </c>
      <c r="K294" s="2">
        <v>277.0</v>
      </c>
      <c r="L294" s="2" t="s">
        <v>58</v>
      </c>
      <c r="M294" s="2" t="s">
        <v>38</v>
      </c>
    </row>
    <row r="295" ht="14.25" customHeight="1">
      <c r="A295" s="2" t="s">
        <v>546</v>
      </c>
      <c r="B295" s="2" t="s">
        <v>40</v>
      </c>
      <c r="C295" s="2" t="s">
        <v>547</v>
      </c>
      <c r="D295" s="2" t="s">
        <v>42</v>
      </c>
      <c r="E295" s="2" t="s">
        <v>43</v>
      </c>
      <c r="F295" s="2">
        <v>4731.0</v>
      </c>
      <c r="G295" s="2">
        <v>173.0</v>
      </c>
      <c r="H295" s="2">
        <v>276.0</v>
      </c>
      <c r="I295" s="2">
        <v>28386.0</v>
      </c>
      <c r="J295" s="2">
        <v>28185.0</v>
      </c>
      <c r="K295" s="2">
        <v>89.0</v>
      </c>
      <c r="L295" s="2" t="s">
        <v>105</v>
      </c>
      <c r="M295" s="2" t="s">
        <v>55</v>
      </c>
    </row>
    <row r="296" ht="14.25" customHeight="1">
      <c r="A296" s="2" t="s">
        <v>548</v>
      </c>
      <c r="B296" s="2" t="s">
        <v>14</v>
      </c>
      <c r="C296" s="2" t="s">
        <v>430</v>
      </c>
      <c r="D296" s="2" t="s">
        <v>49</v>
      </c>
      <c r="E296" s="2" t="s">
        <v>50</v>
      </c>
      <c r="F296" s="2">
        <v>1952.0</v>
      </c>
      <c r="G296" s="2">
        <v>344.0</v>
      </c>
      <c r="H296" s="2">
        <v>287.0</v>
      </c>
      <c r="I296" s="2">
        <v>15616.0</v>
      </c>
      <c r="J296" s="2">
        <v>15403.0</v>
      </c>
      <c r="K296" s="2">
        <v>235.0</v>
      </c>
      <c r="L296" s="2" t="s">
        <v>66</v>
      </c>
      <c r="M296" s="2" t="s">
        <v>38</v>
      </c>
    </row>
    <row r="297" ht="14.25" customHeight="1">
      <c r="A297" s="2" t="s">
        <v>549</v>
      </c>
      <c r="B297" s="2" t="s">
        <v>14</v>
      </c>
      <c r="C297" s="2" t="s">
        <v>550</v>
      </c>
      <c r="D297" s="2" t="s">
        <v>69</v>
      </c>
      <c r="E297" s="2" t="s">
        <v>70</v>
      </c>
      <c r="F297" s="2">
        <v>3440.0</v>
      </c>
      <c r="G297" s="2">
        <v>13.0</v>
      </c>
      <c r="H297" s="2">
        <v>20.0</v>
      </c>
      <c r="I297" s="2">
        <v>58480.0</v>
      </c>
      <c r="J297" s="2">
        <v>58146.0</v>
      </c>
      <c r="K297" s="2">
        <v>210.0</v>
      </c>
      <c r="L297" s="2" t="s">
        <v>71</v>
      </c>
      <c r="M297" s="2" t="s">
        <v>19</v>
      </c>
    </row>
    <row r="298" ht="14.25" customHeight="1">
      <c r="A298" s="2" t="s">
        <v>551</v>
      </c>
      <c r="B298" s="2" t="s">
        <v>14</v>
      </c>
      <c r="C298" s="2" t="s">
        <v>552</v>
      </c>
      <c r="D298" s="2" t="s">
        <v>22</v>
      </c>
      <c r="E298" s="2" t="s">
        <v>23</v>
      </c>
      <c r="F298" s="2">
        <v>2166.0</v>
      </c>
      <c r="G298" s="2">
        <v>354.0</v>
      </c>
      <c r="H298" s="2">
        <v>117.0</v>
      </c>
      <c r="I298" s="2">
        <v>10830.0</v>
      </c>
      <c r="J298" s="2">
        <v>10245.0</v>
      </c>
      <c r="K298" s="2">
        <v>24.0</v>
      </c>
      <c r="L298" s="2" t="s">
        <v>87</v>
      </c>
      <c r="M298" s="2" t="s">
        <v>19</v>
      </c>
    </row>
    <row r="299" ht="14.25" customHeight="1">
      <c r="A299" s="2" t="s">
        <v>553</v>
      </c>
      <c r="B299" s="2" t="s">
        <v>40</v>
      </c>
      <c r="C299" s="2" t="s">
        <v>68</v>
      </c>
      <c r="D299" s="2" t="s">
        <v>49</v>
      </c>
      <c r="E299" s="2" t="s">
        <v>50</v>
      </c>
      <c r="F299" s="2">
        <v>4303.0</v>
      </c>
      <c r="G299" s="2">
        <v>451.0</v>
      </c>
      <c r="H299" s="2">
        <v>286.0</v>
      </c>
      <c r="I299" s="2">
        <v>86060.0</v>
      </c>
      <c r="J299" s="2">
        <v>85823.0</v>
      </c>
      <c r="K299" s="2">
        <v>14.0</v>
      </c>
      <c r="L299" s="2" t="s">
        <v>18</v>
      </c>
      <c r="M299" s="2" t="s">
        <v>25</v>
      </c>
    </row>
    <row r="300" ht="14.25" customHeight="1">
      <c r="A300" s="2" t="s">
        <v>554</v>
      </c>
      <c r="B300" s="2" t="s">
        <v>40</v>
      </c>
      <c r="C300" s="2" t="s">
        <v>73</v>
      </c>
      <c r="D300" s="2" t="s">
        <v>49</v>
      </c>
      <c r="E300" s="2" t="s">
        <v>50</v>
      </c>
      <c r="F300" s="2">
        <v>2581.0</v>
      </c>
      <c r="G300" s="2">
        <v>517.0</v>
      </c>
      <c r="H300" s="2">
        <v>117.0</v>
      </c>
      <c r="I300" s="2">
        <v>23229.0</v>
      </c>
      <c r="J300" s="2">
        <v>22331.0</v>
      </c>
      <c r="K300" s="2">
        <v>70.0</v>
      </c>
      <c r="L300" s="2" t="s">
        <v>82</v>
      </c>
      <c r="M300" s="2" t="s">
        <v>25</v>
      </c>
    </row>
    <row r="301" ht="14.25" customHeight="1">
      <c r="A301" s="2" t="s">
        <v>555</v>
      </c>
      <c r="B301" s="2" t="s">
        <v>14</v>
      </c>
      <c r="C301" s="2" t="s">
        <v>314</v>
      </c>
      <c r="D301" s="2" t="s">
        <v>42</v>
      </c>
      <c r="E301" s="2" t="s">
        <v>43</v>
      </c>
      <c r="F301" s="2">
        <v>4494.0</v>
      </c>
      <c r="G301" s="2">
        <v>717.0</v>
      </c>
      <c r="H301" s="2">
        <v>45.0</v>
      </c>
      <c r="I301" s="2">
        <v>62916.0</v>
      </c>
      <c r="J301" s="2">
        <v>62688.0</v>
      </c>
      <c r="K301" s="2">
        <v>191.0</v>
      </c>
      <c r="L301" s="2" t="s">
        <v>24</v>
      </c>
      <c r="M301" s="2" t="s">
        <v>19</v>
      </c>
    </row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M$1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13.43"/>
    <col customWidth="1" min="3" max="26" width="8.71"/>
  </cols>
  <sheetData>
    <row r="1" ht="14.25" customHeight="1">
      <c r="A1" s="2" t="s">
        <v>556</v>
      </c>
      <c r="B1" s="2" t="s">
        <v>1</v>
      </c>
      <c r="C1" s="2" t="s">
        <v>557</v>
      </c>
      <c r="D1" s="2" t="s">
        <v>558</v>
      </c>
      <c r="E1" s="3" t="s">
        <v>559</v>
      </c>
      <c r="F1" s="3" t="s">
        <v>560</v>
      </c>
      <c r="G1" s="2" t="s">
        <v>561</v>
      </c>
      <c r="H1" s="2" t="s">
        <v>562</v>
      </c>
      <c r="I1" s="2" t="s">
        <v>563</v>
      </c>
    </row>
    <row r="2" ht="14.25" customHeight="1">
      <c r="A2" s="4">
        <v>45446.0</v>
      </c>
      <c r="B2" s="2" t="s">
        <v>31</v>
      </c>
      <c r="C2" s="2">
        <v>1135.0</v>
      </c>
      <c r="D2" s="2">
        <v>88.0</v>
      </c>
      <c r="E2" s="2">
        <f t="shared" ref="E2:E201" si="1">C2-D2
</f>
        <v>1047</v>
      </c>
      <c r="G2" s="2">
        <v>344084.0</v>
      </c>
      <c r="H2" s="2">
        <v>8.06</v>
      </c>
      <c r="I2" s="2">
        <v>5904.0</v>
      </c>
    </row>
    <row r="3" ht="14.25" customHeight="1">
      <c r="A3" s="4">
        <v>45446.0</v>
      </c>
      <c r="B3" s="2" t="s">
        <v>40</v>
      </c>
      <c r="C3" s="2">
        <v>1312.0</v>
      </c>
      <c r="D3" s="2">
        <v>310.0</v>
      </c>
      <c r="E3" s="2">
        <f t="shared" si="1"/>
        <v>1002</v>
      </c>
      <c r="G3" s="2">
        <v>42654.0</v>
      </c>
      <c r="H3" s="2">
        <v>4.98</v>
      </c>
      <c r="I3" s="2">
        <v>9566.0</v>
      </c>
    </row>
    <row r="4" ht="14.25" customHeight="1">
      <c r="A4" s="4">
        <v>45446.0</v>
      </c>
      <c r="B4" s="2" t="s">
        <v>14</v>
      </c>
      <c r="C4" s="2">
        <v>584.0</v>
      </c>
      <c r="D4" s="2">
        <v>169.0</v>
      </c>
      <c r="E4" s="2">
        <f t="shared" si="1"/>
        <v>415</v>
      </c>
      <c r="F4" s="2">
        <f t="shared" ref="F4:F201" si="2">AVERAGE(E2:E4)</f>
        <v>821.3333333</v>
      </c>
      <c r="G4" s="2">
        <v>146834.0</v>
      </c>
      <c r="H4" s="2">
        <v>8.31</v>
      </c>
      <c r="I4" s="2">
        <v>26752.0</v>
      </c>
    </row>
    <row r="5" ht="14.25" customHeight="1">
      <c r="A5" s="4">
        <v>45446.0</v>
      </c>
      <c r="B5" s="2" t="s">
        <v>27</v>
      </c>
      <c r="C5" s="2">
        <v>1535.0</v>
      </c>
      <c r="D5" s="2">
        <v>445.0</v>
      </c>
      <c r="E5" s="2">
        <f t="shared" si="1"/>
        <v>1090</v>
      </c>
      <c r="F5" s="2">
        <f t="shared" si="2"/>
        <v>835.6666667</v>
      </c>
      <c r="G5" s="2">
        <v>395536.0</v>
      </c>
      <c r="H5" s="2">
        <v>4.11</v>
      </c>
      <c r="I5" s="2">
        <v>30671.0</v>
      </c>
    </row>
    <row r="6" ht="14.25" customHeight="1">
      <c r="A6" s="4">
        <v>45453.0</v>
      </c>
      <c r="B6" s="2" t="s">
        <v>31</v>
      </c>
      <c r="C6" s="2">
        <v>656.0</v>
      </c>
      <c r="D6" s="2">
        <v>139.0</v>
      </c>
      <c r="E6" s="2">
        <f t="shared" si="1"/>
        <v>517</v>
      </c>
      <c r="F6" s="2">
        <f t="shared" si="2"/>
        <v>674</v>
      </c>
      <c r="G6" s="2">
        <v>49157.0</v>
      </c>
      <c r="H6" s="2">
        <v>9.05</v>
      </c>
      <c r="I6" s="2">
        <v>9920.0</v>
      </c>
    </row>
    <row r="7" ht="14.25" customHeight="1">
      <c r="A7" s="4">
        <v>45453.0</v>
      </c>
      <c r="B7" s="2" t="s">
        <v>40</v>
      </c>
      <c r="C7" s="2">
        <v>1697.0</v>
      </c>
      <c r="D7" s="2">
        <v>414.0</v>
      </c>
      <c r="E7" s="2">
        <f t="shared" si="1"/>
        <v>1283</v>
      </c>
      <c r="F7" s="2">
        <f t="shared" si="2"/>
        <v>963.3333333</v>
      </c>
      <c r="G7" s="2">
        <v>316555.0</v>
      </c>
      <c r="H7" s="2">
        <v>2.37</v>
      </c>
      <c r="I7" s="2">
        <v>7924.0</v>
      </c>
    </row>
    <row r="8" ht="14.25" customHeight="1">
      <c r="A8" s="4">
        <v>45453.0</v>
      </c>
      <c r="B8" s="2" t="s">
        <v>14</v>
      </c>
      <c r="C8" s="2">
        <v>436.0</v>
      </c>
      <c r="D8" s="2">
        <v>250.0</v>
      </c>
      <c r="E8" s="2">
        <f t="shared" si="1"/>
        <v>186</v>
      </c>
      <c r="F8" s="2">
        <f t="shared" si="2"/>
        <v>662</v>
      </c>
      <c r="G8" s="2">
        <v>254347.0</v>
      </c>
      <c r="H8" s="2">
        <v>4.01</v>
      </c>
      <c r="I8" s="2">
        <v>8912.0</v>
      </c>
    </row>
    <row r="9" ht="14.25" customHeight="1">
      <c r="A9" s="4">
        <v>45453.0</v>
      </c>
      <c r="B9" s="2" t="s">
        <v>27</v>
      </c>
      <c r="C9" s="2">
        <v>1197.0</v>
      </c>
      <c r="D9" s="2">
        <v>203.0</v>
      </c>
      <c r="E9" s="2">
        <f t="shared" si="1"/>
        <v>994</v>
      </c>
      <c r="F9" s="2">
        <f t="shared" si="2"/>
        <v>821</v>
      </c>
      <c r="G9" s="2">
        <v>413878.0</v>
      </c>
      <c r="H9" s="2">
        <v>3.16</v>
      </c>
      <c r="I9" s="2">
        <v>21205.0</v>
      </c>
    </row>
    <row r="10" ht="14.25" customHeight="1">
      <c r="A10" s="4">
        <v>45460.0</v>
      </c>
      <c r="B10" s="2" t="s">
        <v>31</v>
      </c>
      <c r="C10" s="2">
        <v>1048.0</v>
      </c>
      <c r="D10" s="2">
        <v>155.0</v>
      </c>
      <c r="E10" s="2">
        <f t="shared" si="1"/>
        <v>893</v>
      </c>
      <c r="F10" s="2">
        <f t="shared" si="2"/>
        <v>691</v>
      </c>
      <c r="G10" s="2">
        <v>456946.0</v>
      </c>
      <c r="H10" s="2">
        <v>2.46</v>
      </c>
      <c r="I10" s="2">
        <v>11329.0</v>
      </c>
    </row>
    <row r="11" ht="14.25" customHeight="1">
      <c r="A11" s="4">
        <v>45460.0</v>
      </c>
      <c r="B11" s="2" t="s">
        <v>40</v>
      </c>
      <c r="C11" s="2">
        <v>1753.0</v>
      </c>
      <c r="D11" s="2">
        <v>371.0</v>
      </c>
      <c r="E11" s="2">
        <f t="shared" si="1"/>
        <v>1382</v>
      </c>
      <c r="F11" s="2">
        <f t="shared" si="2"/>
        <v>1089.666667</v>
      </c>
      <c r="G11" s="2">
        <v>169496.0</v>
      </c>
      <c r="H11" s="2">
        <v>8.11</v>
      </c>
      <c r="I11" s="2">
        <v>46670.0</v>
      </c>
    </row>
    <row r="12" ht="14.25" customHeight="1">
      <c r="A12" s="4">
        <v>45460.0</v>
      </c>
      <c r="B12" s="2" t="s">
        <v>14</v>
      </c>
      <c r="C12" s="2">
        <v>1335.0</v>
      </c>
      <c r="D12" s="2">
        <v>40.0</v>
      </c>
      <c r="E12" s="2">
        <f t="shared" si="1"/>
        <v>1295</v>
      </c>
      <c r="F12" s="2">
        <f t="shared" si="2"/>
        <v>1190</v>
      </c>
      <c r="G12" s="2">
        <v>122732.0</v>
      </c>
      <c r="H12" s="2">
        <v>8.19</v>
      </c>
      <c r="I12" s="2">
        <v>22482.0</v>
      </c>
    </row>
    <row r="13" ht="14.25" customHeight="1">
      <c r="A13" s="4">
        <v>45460.0</v>
      </c>
      <c r="B13" s="2" t="s">
        <v>27</v>
      </c>
      <c r="C13" s="2">
        <v>403.0</v>
      </c>
      <c r="D13" s="2">
        <v>66.0</v>
      </c>
      <c r="E13" s="2">
        <f t="shared" si="1"/>
        <v>337</v>
      </c>
      <c r="F13" s="2">
        <f t="shared" si="2"/>
        <v>1004.666667</v>
      </c>
      <c r="G13" s="2">
        <v>382851.0</v>
      </c>
      <c r="H13" s="2">
        <v>3.49</v>
      </c>
      <c r="I13" s="2">
        <v>24313.0</v>
      </c>
    </row>
    <row r="14" ht="14.25" customHeight="1">
      <c r="A14" s="4">
        <v>45467.0</v>
      </c>
      <c r="B14" s="2" t="s">
        <v>31</v>
      </c>
      <c r="C14" s="2">
        <v>911.0</v>
      </c>
      <c r="D14" s="2">
        <v>282.0</v>
      </c>
      <c r="E14" s="2">
        <f t="shared" si="1"/>
        <v>629</v>
      </c>
      <c r="F14" s="2">
        <f t="shared" si="2"/>
        <v>753.6666667</v>
      </c>
      <c r="G14" s="2">
        <v>35664.0</v>
      </c>
      <c r="H14" s="2">
        <v>6.92</v>
      </c>
      <c r="I14" s="2">
        <v>18050.0</v>
      </c>
    </row>
    <row r="15" ht="14.25" customHeight="1">
      <c r="A15" s="4">
        <v>45467.0</v>
      </c>
      <c r="B15" s="2" t="s">
        <v>40</v>
      </c>
      <c r="C15" s="2">
        <v>1779.0</v>
      </c>
      <c r="D15" s="2">
        <v>109.0</v>
      </c>
      <c r="E15" s="2">
        <f t="shared" si="1"/>
        <v>1670</v>
      </c>
      <c r="F15" s="2">
        <f t="shared" si="2"/>
        <v>878.6666667</v>
      </c>
      <c r="G15" s="2">
        <v>26295.0</v>
      </c>
      <c r="H15" s="2">
        <v>9.12</v>
      </c>
      <c r="I15" s="2">
        <v>30635.0</v>
      </c>
    </row>
    <row r="16" ht="14.25" customHeight="1">
      <c r="A16" s="4">
        <v>45467.0</v>
      </c>
      <c r="B16" s="2" t="s">
        <v>14</v>
      </c>
      <c r="C16" s="2">
        <v>1238.0</v>
      </c>
      <c r="D16" s="2">
        <v>403.0</v>
      </c>
      <c r="E16" s="2">
        <f t="shared" si="1"/>
        <v>835</v>
      </c>
      <c r="F16" s="2">
        <f t="shared" si="2"/>
        <v>1044.666667</v>
      </c>
      <c r="G16" s="2">
        <v>298421.0</v>
      </c>
      <c r="H16" s="2">
        <v>3.5</v>
      </c>
      <c r="I16" s="2">
        <v>31280.0</v>
      </c>
    </row>
    <row r="17" ht="14.25" customHeight="1">
      <c r="A17" s="4">
        <v>45467.0</v>
      </c>
      <c r="B17" s="2" t="s">
        <v>27</v>
      </c>
      <c r="C17" s="2">
        <v>308.0</v>
      </c>
      <c r="D17" s="2">
        <v>431.0</v>
      </c>
      <c r="E17" s="2">
        <f t="shared" si="1"/>
        <v>-123</v>
      </c>
      <c r="F17" s="2">
        <f t="shared" si="2"/>
        <v>794</v>
      </c>
      <c r="G17" s="2">
        <v>426184.0</v>
      </c>
      <c r="H17" s="2">
        <v>2.62</v>
      </c>
      <c r="I17" s="2">
        <v>1783.0</v>
      </c>
    </row>
    <row r="18" ht="14.25" customHeight="1">
      <c r="A18" s="4">
        <v>45474.0</v>
      </c>
      <c r="B18" s="2" t="s">
        <v>31</v>
      </c>
      <c r="C18" s="2">
        <v>226.0</v>
      </c>
      <c r="D18" s="2">
        <v>445.0</v>
      </c>
      <c r="E18" s="2">
        <f t="shared" si="1"/>
        <v>-219</v>
      </c>
      <c r="F18" s="2">
        <f t="shared" si="2"/>
        <v>164.3333333</v>
      </c>
      <c r="G18" s="2">
        <v>419447.0</v>
      </c>
      <c r="H18" s="2">
        <v>9.36</v>
      </c>
      <c r="I18" s="2">
        <v>9566.0</v>
      </c>
    </row>
    <row r="19" ht="14.25" customHeight="1">
      <c r="A19" s="4">
        <v>45474.0</v>
      </c>
      <c r="B19" s="2" t="s">
        <v>40</v>
      </c>
      <c r="C19" s="2">
        <v>505.0</v>
      </c>
      <c r="D19" s="2">
        <v>441.0</v>
      </c>
      <c r="E19" s="2">
        <f t="shared" si="1"/>
        <v>64</v>
      </c>
      <c r="F19" s="2">
        <f t="shared" si="2"/>
        <v>-92.66666667</v>
      </c>
      <c r="G19" s="2">
        <v>220020.0</v>
      </c>
      <c r="H19" s="2">
        <v>4.48</v>
      </c>
      <c r="I19" s="2">
        <v>42307.0</v>
      </c>
    </row>
    <row r="20" ht="14.25" customHeight="1">
      <c r="A20" s="4">
        <v>45474.0</v>
      </c>
      <c r="B20" s="2" t="s">
        <v>14</v>
      </c>
      <c r="C20" s="2">
        <v>1420.0</v>
      </c>
      <c r="D20" s="2">
        <v>63.0</v>
      </c>
      <c r="E20" s="2">
        <f t="shared" si="1"/>
        <v>1357</v>
      </c>
      <c r="F20" s="2">
        <f t="shared" si="2"/>
        <v>400.6666667</v>
      </c>
      <c r="G20" s="2">
        <v>315305.0</v>
      </c>
      <c r="H20" s="2">
        <v>6.19</v>
      </c>
      <c r="I20" s="2">
        <v>5914.0</v>
      </c>
    </row>
    <row r="21" ht="14.25" customHeight="1">
      <c r="A21" s="4">
        <v>45474.0</v>
      </c>
      <c r="B21" s="2" t="s">
        <v>27</v>
      </c>
      <c r="C21" s="2">
        <v>144.0</v>
      </c>
      <c r="D21" s="2">
        <v>53.0</v>
      </c>
      <c r="E21" s="2">
        <f t="shared" si="1"/>
        <v>91</v>
      </c>
      <c r="F21" s="2">
        <f t="shared" si="2"/>
        <v>504</v>
      </c>
      <c r="G21" s="2">
        <v>113678.0</v>
      </c>
      <c r="H21" s="2">
        <v>8.72</v>
      </c>
      <c r="I21" s="2">
        <v>30060.0</v>
      </c>
    </row>
    <row r="22" ht="14.25" customHeight="1">
      <c r="A22" s="4">
        <v>45481.0</v>
      </c>
      <c r="B22" s="2" t="s">
        <v>31</v>
      </c>
      <c r="C22" s="2">
        <v>1757.0</v>
      </c>
      <c r="D22" s="2">
        <v>85.0</v>
      </c>
      <c r="E22" s="2">
        <f t="shared" si="1"/>
        <v>1672</v>
      </c>
      <c r="F22" s="2">
        <f t="shared" si="2"/>
        <v>1040</v>
      </c>
      <c r="G22" s="2">
        <v>58223.0</v>
      </c>
      <c r="H22" s="2">
        <v>8.74</v>
      </c>
      <c r="I22" s="2">
        <v>22728.0</v>
      </c>
    </row>
    <row r="23" ht="14.25" customHeight="1">
      <c r="A23" s="4">
        <v>45481.0</v>
      </c>
      <c r="B23" s="2" t="s">
        <v>40</v>
      </c>
      <c r="C23" s="2">
        <v>350.0</v>
      </c>
      <c r="D23" s="2">
        <v>41.0</v>
      </c>
      <c r="E23" s="2">
        <f t="shared" si="1"/>
        <v>309</v>
      </c>
      <c r="F23" s="2">
        <f t="shared" si="2"/>
        <v>690.6666667</v>
      </c>
      <c r="G23" s="2">
        <v>251694.0</v>
      </c>
      <c r="H23" s="2">
        <v>1.91</v>
      </c>
      <c r="I23" s="2">
        <v>38610.0</v>
      </c>
    </row>
    <row r="24" ht="14.25" customHeight="1">
      <c r="A24" s="4">
        <v>45481.0</v>
      </c>
      <c r="B24" s="2" t="s">
        <v>14</v>
      </c>
      <c r="C24" s="2">
        <v>987.0</v>
      </c>
      <c r="D24" s="2">
        <v>440.0</v>
      </c>
      <c r="E24" s="2">
        <f t="shared" si="1"/>
        <v>547</v>
      </c>
      <c r="F24" s="2">
        <f t="shared" si="2"/>
        <v>842.6666667</v>
      </c>
      <c r="G24" s="2">
        <v>389810.0</v>
      </c>
      <c r="H24" s="2">
        <v>4.66</v>
      </c>
      <c r="I24" s="2">
        <v>2932.0</v>
      </c>
    </row>
    <row r="25" ht="14.25" customHeight="1">
      <c r="A25" s="4">
        <v>45481.0</v>
      </c>
      <c r="B25" s="2" t="s">
        <v>27</v>
      </c>
      <c r="C25" s="2">
        <v>883.0</v>
      </c>
      <c r="D25" s="2">
        <v>369.0</v>
      </c>
      <c r="E25" s="2">
        <f t="shared" si="1"/>
        <v>514</v>
      </c>
      <c r="F25" s="2">
        <f t="shared" si="2"/>
        <v>456.6666667</v>
      </c>
      <c r="G25" s="2">
        <v>233694.0</v>
      </c>
      <c r="H25" s="2">
        <v>2.88</v>
      </c>
      <c r="I25" s="2">
        <v>15071.0</v>
      </c>
    </row>
    <row r="26" ht="14.25" customHeight="1">
      <c r="A26" s="4">
        <v>45488.0</v>
      </c>
      <c r="B26" s="2" t="s">
        <v>31</v>
      </c>
      <c r="C26" s="2">
        <v>1960.0</v>
      </c>
      <c r="D26" s="2">
        <v>115.0</v>
      </c>
      <c r="E26" s="2">
        <f t="shared" si="1"/>
        <v>1845</v>
      </c>
      <c r="F26" s="2">
        <f t="shared" si="2"/>
        <v>968.6666667</v>
      </c>
      <c r="G26" s="2">
        <v>154169.0</v>
      </c>
      <c r="H26" s="2">
        <v>3.74</v>
      </c>
      <c r="I26" s="2">
        <v>10740.0</v>
      </c>
    </row>
    <row r="27" ht="14.25" customHeight="1">
      <c r="A27" s="4">
        <v>45488.0</v>
      </c>
      <c r="B27" s="2" t="s">
        <v>40</v>
      </c>
      <c r="C27" s="2">
        <v>170.0</v>
      </c>
      <c r="D27" s="2">
        <v>334.0</v>
      </c>
      <c r="E27" s="2">
        <f t="shared" si="1"/>
        <v>-164</v>
      </c>
      <c r="F27" s="2">
        <f t="shared" si="2"/>
        <v>731.6666667</v>
      </c>
      <c r="G27" s="2">
        <v>334626.0</v>
      </c>
      <c r="H27" s="2">
        <v>6.44</v>
      </c>
      <c r="I27" s="2">
        <v>43420.0</v>
      </c>
    </row>
    <row r="28" ht="14.25" customHeight="1">
      <c r="A28" s="4">
        <v>45488.0</v>
      </c>
      <c r="B28" s="2" t="s">
        <v>14</v>
      </c>
      <c r="C28" s="2">
        <v>704.0</v>
      </c>
      <c r="D28" s="2">
        <v>275.0</v>
      </c>
      <c r="E28" s="2">
        <f t="shared" si="1"/>
        <v>429</v>
      </c>
      <c r="F28" s="2">
        <f t="shared" si="2"/>
        <v>703.3333333</v>
      </c>
      <c r="G28" s="2">
        <v>226002.0</v>
      </c>
      <c r="H28" s="2">
        <v>8.56</v>
      </c>
      <c r="I28" s="2">
        <v>32393.0</v>
      </c>
    </row>
    <row r="29" ht="14.25" customHeight="1">
      <c r="A29" s="4">
        <v>45488.0</v>
      </c>
      <c r="B29" s="2" t="s">
        <v>27</v>
      </c>
      <c r="C29" s="2">
        <v>224.0</v>
      </c>
      <c r="D29" s="2">
        <v>64.0</v>
      </c>
      <c r="E29" s="2">
        <f t="shared" si="1"/>
        <v>160</v>
      </c>
      <c r="F29" s="2">
        <f t="shared" si="2"/>
        <v>141.6666667</v>
      </c>
      <c r="G29" s="2">
        <v>156683.0</v>
      </c>
      <c r="H29" s="2">
        <v>4.56</v>
      </c>
      <c r="I29" s="2">
        <v>28474.0</v>
      </c>
    </row>
    <row r="30" ht="14.25" customHeight="1">
      <c r="A30" s="4">
        <v>45495.0</v>
      </c>
      <c r="B30" s="2" t="s">
        <v>31</v>
      </c>
      <c r="C30" s="2">
        <v>508.0</v>
      </c>
      <c r="D30" s="2">
        <v>349.0</v>
      </c>
      <c r="E30" s="2">
        <f t="shared" si="1"/>
        <v>159</v>
      </c>
      <c r="F30" s="2">
        <f t="shared" si="2"/>
        <v>249.3333333</v>
      </c>
      <c r="G30" s="2">
        <v>473812.0</v>
      </c>
      <c r="H30" s="2">
        <v>7.88</v>
      </c>
      <c r="I30" s="2">
        <v>17328.0</v>
      </c>
    </row>
    <row r="31" ht="14.25" customHeight="1">
      <c r="A31" s="4">
        <v>45495.0</v>
      </c>
      <c r="B31" s="2" t="s">
        <v>40</v>
      </c>
      <c r="C31" s="2">
        <v>1391.0</v>
      </c>
      <c r="D31" s="2">
        <v>430.0</v>
      </c>
      <c r="E31" s="2">
        <f t="shared" si="1"/>
        <v>961</v>
      </c>
      <c r="F31" s="2">
        <f t="shared" si="2"/>
        <v>426.6666667</v>
      </c>
      <c r="G31" s="2">
        <v>295032.0</v>
      </c>
      <c r="H31" s="2">
        <v>7.86</v>
      </c>
      <c r="I31" s="2">
        <v>26067.0</v>
      </c>
    </row>
    <row r="32" ht="14.25" customHeight="1">
      <c r="A32" s="4">
        <v>45495.0</v>
      </c>
      <c r="B32" s="2" t="s">
        <v>14</v>
      </c>
      <c r="C32" s="2">
        <v>1701.0</v>
      </c>
      <c r="D32" s="2">
        <v>385.0</v>
      </c>
      <c r="E32" s="2">
        <f t="shared" si="1"/>
        <v>1316</v>
      </c>
      <c r="F32" s="2">
        <f t="shared" si="2"/>
        <v>812</v>
      </c>
      <c r="G32" s="2">
        <v>198278.0</v>
      </c>
      <c r="H32" s="2">
        <v>5.34</v>
      </c>
      <c r="I32" s="2">
        <v>32763.0</v>
      </c>
    </row>
    <row r="33" ht="14.25" customHeight="1">
      <c r="A33" s="4">
        <v>45495.0</v>
      </c>
      <c r="B33" s="2" t="s">
        <v>27</v>
      </c>
      <c r="C33" s="2">
        <v>804.0</v>
      </c>
      <c r="D33" s="2">
        <v>487.0</v>
      </c>
      <c r="E33" s="2">
        <f t="shared" si="1"/>
        <v>317</v>
      </c>
      <c r="F33" s="2">
        <f t="shared" si="2"/>
        <v>864.6666667</v>
      </c>
      <c r="G33" s="2">
        <v>306564.0</v>
      </c>
      <c r="H33" s="2">
        <v>5.52</v>
      </c>
      <c r="I33" s="2">
        <v>26452.0</v>
      </c>
    </row>
    <row r="34" ht="14.25" customHeight="1">
      <c r="A34" s="4">
        <v>45502.0</v>
      </c>
      <c r="B34" s="2" t="s">
        <v>31</v>
      </c>
      <c r="C34" s="2">
        <v>653.0</v>
      </c>
      <c r="D34" s="2">
        <v>112.0</v>
      </c>
      <c r="E34" s="2">
        <f t="shared" si="1"/>
        <v>541</v>
      </c>
      <c r="F34" s="2">
        <f t="shared" si="2"/>
        <v>724.6666667</v>
      </c>
      <c r="G34" s="2">
        <v>23664.0</v>
      </c>
      <c r="H34" s="2">
        <v>4.05</v>
      </c>
      <c r="I34" s="2">
        <v>15353.0</v>
      </c>
    </row>
    <row r="35" ht="14.25" customHeight="1">
      <c r="A35" s="4">
        <v>45502.0</v>
      </c>
      <c r="B35" s="2" t="s">
        <v>40</v>
      </c>
      <c r="C35" s="2">
        <v>160.0</v>
      </c>
      <c r="D35" s="2">
        <v>478.0</v>
      </c>
      <c r="E35" s="2">
        <f t="shared" si="1"/>
        <v>-318</v>
      </c>
      <c r="F35" s="2">
        <f t="shared" si="2"/>
        <v>180</v>
      </c>
      <c r="G35" s="2">
        <v>435034.0</v>
      </c>
      <c r="H35" s="2">
        <v>7.73</v>
      </c>
      <c r="I35" s="2">
        <v>4839.0</v>
      </c>
    </row>
    <row r="36" ht="14.25" customHeight="1">
      <c r="A36" s="4">
        <v>45502.0</v>
      </c>
      <c r="B36" s="2" t="s">
        <v>14</v>
      </c>
      <c r="C36" s="2">
        <v>1756.0</v>
      </c>
      <c r="D36" s="2">
        <v>261.0</v>
      </c>
      <c r="E36" s="2">
        <f t="shared" si="1"/>
        <v>1495</v>
      </c>
      <c r="F36" s="2">
        <f t="shared" si="2"/>
        <v>572.6666667</v>
      </c>
      <c r="G36" s="2">
        <v>287574.0</v>
      </c>
      <c r="H36" s="2">
        <v>4.36</v>
      </c>
      <c r="I36" s="2">
        <v>39272.0</v>
      </c>
    </row>
    <row r="37" ht="14.25" customHeight="1">
      <c r="A37" s="4">
        <v>45502.0</v>
      </c>
      <c r="B37" s="2" t="s">
        <v>27</v>
      </c>
      <c r="C37" s="2">
        <v>576.0</v>
      </c>
      <c r="D37" s="2">
        <v>101.0</v>
      </c>
      <c r="E37" s="2">
        <f t="shared" si="1"/>
        <v>475</v>
      </c>
      <c r="F37" s="2">
        <f t="shared" si="2"/>
        <v>550.6666667</v>
      </c>
      <c r="G37" s="2">
        <v>62499.0</v>
      </c>
      <c r="H37" s="2">
        <v>3.48</v>
      </c>
      <c r="I37" s="2">
        <v>16804.0</v>
      </c>
    </row>
    <row r="38" ht="14.25" customHeight="1">
      <c r="A38" s="4">
        <v>45509.0</v>
      </c>
      <c r="B38" s="2" t="s">
        <v>31</v>
      </c>
      <c r="C38" s="2">
        <v>645.0</v>
      </c>
      <c r="D38" s="2">
        <v>293.0</v>
      </c>
      <c r="E38" s="2">
        <f t="shared" si="1"/>
        <v>352</v>
      </c>
      <c r="F38" s="2">
        <f t="shared" si="2"/>
        <v>774</v>
      </c>
      <c r="G38" s="2">
        <v>437968.0</v>
      </c>
      <c r="H38" s="2">
        <v>7.83</v>
      </c>
      <c r="I38" s="2">
        <v>49303.0</v>
      </c>
    </row>
    <row r="39" ht="14.25" customHeight="1">
      <c r="A39" s="4">
        <v>45509.0</v>
      </c>
      <c r="B39" s="2" t="s">
        <v>40</v>
      </c>
      <c r="C39" s="2">
        <v>214.0</v>
      </c>
      <c r="D39" s="2">
        <v>411.0</v>
      </c>
      <c r="E39" s="2">
        <f t="shared" si="1"/>
        <v>-197</v>
      </c>
      <c r="F39" s="2">
        <f t="shared" si="2"/>
        <v>210</v>
      </c>
      <c r="G39" s="2">
        <v>125034.0</v>
      </c>
      <c r="H39" s="2">
        <v>6.11</v>
      </c>
      <c r="I39" s="2">
        <v>26455.0</v>
      </c>
    </row>
    <row r="40" ht="14.25" customHeight="1">
      <c r="A40" s="4">
        <v>45509.0</v>
      </c>
      <c r="B40" s="2" t="s">
        <v>14</v>
      </c>
      <c r="C40" s="2">
        <v>826.0</v>
      </c>
      <c r="D40" s="2">
        <v>498.0</v>
      </c>
      <c r="E40" s="2">
        <f t="shared" si="1"/>
        <v>328</v>
      </c>
      <c r="F40" s="2">
        <f t="shared" si="2"/>
        <v>161</v>
      </c>
      <c r="G40" s="2">
        <v>449994.0</v>
      </c>
      <c r="H40" s="2">
        <v>9.43</v>
      </c>
      <c r="I40" s="2">
        <v>12384.0</v>
      </c>
    </row>
    <row r="41" ht="14.25" customHeight="1">
      <c r="A41" s="4">
        <v>45509.0</v>
      </c>
      <c r="B41" s="2" t="s">
        <v>27</v>
      </c>
      <c r="C41" s="2">
        <v>460.0</v>
      </c>
      <c r="D41" s="2">
        <v>141.0</v>
      </c>
      <c r="E41" s="2">
        <f t="shared" si="1"/>
        <v>319</v>
      </c>
      <c r="F41" s="2">
        <f t="shared" si="2"/>
        <v>150</v>
      </c>
      <c r="G41" s="2">
        <v>320650.0</v>
      </c>
      <c r="H41" s="2">
        <v>4.04</v>
      </c>
      <c r="I41" s="2">
        <v>49372.0</v>
      </c>
    </row>
    <row r="42" ht="14.25" customHeight="1">
      <c r="A42" s="4">
        <v>45516.0</v>
      </c>
      <c r="B42" s="2" t="s">
        <v>31</v>
      </c>
      <c r="C42" s="2">
        <v>1528.0</v>
      </c>
      <c r="D42" s="2">
        <v>203.0</v>
      </c>
      <c r="E42" s="2">
        <f t="shared" si="1"/>
        <v>1325</v>
      </c>
      <c r="F42" s="2">
        <f t="shared" si="2"/>
        <v>657.3333333</v>
      </c>
      <c r="G42" s="2">
        <v>489188.0</v>
      </c>
      <c r="H42" s="2">
        <v>6.23</v>
      </c>
      <c r="I42" s="2">
        <v>47101.0</v>
      </c>
    </row>
    <row r="43" ht="14.25" customHeight="1">
      <c r="A43" s="4">
        <v>45516.0</v>
      </c>
      <c r="B43" s="2" t="s">
        <v>40</v>
      </c>
      <c r="C43" s="2">
        <v>1534.0</v>
      </c>
      <c r="D43" s="2">
        <v>200.0</v>
      </c>
      <c r="E43" s="2">
        <f t="shared" si="1"/>
        <v>1334</v>
      </c>
      <c r="F43" s="2">
        <f t="shared" si="2"/>
        <v>992.6666667</v>
      </c>
      <c r="G43" s="2">
        <v>307612.0</v>
      </c>
      <c r="H43" s="2">
        <v>6.01</v>
      </c>
      <c r="I43" s="2">
        <v>37903.0</v>
      </c>
    </row>
    <row r="44" ht="14.25" customHeight="1">
      <c r="A44" s="4">
        <v>45516.0</v>
      </c>
      <c r="B44" s="2" t="s">
        <v>14</v>
      </c>
      <c r="C44" s="2">
        <v>485.0</v>
      </c>
      <c r="D44" s="2">
        <v>448.0</v>
      </c>
      <c r="E44" s="2">
        <f t="shared" si="1"/>
        <v>37</v>
      </c>
      <c r="F44" s="2">
        <f t="shared" si="2"/>
        <v>898.6666667</v>
      </c>
      <c r="G44" s="2">
        <v>434883.0</v>
      </c>
      <c r="H44" s="2">
        <v>8.55</v>
      </c>
      <c r="I44" s="2">
        <v>33258.0</v>
      </c>
    </row>
    <row r="45" ht="14.25" customHeight="1">
      <c r="A45" s="4">
        <v>45516.0</v>
      </c>
      <c r="B45" s="2" t="s">
        <v>27</v>
      </c>
      <c r="C45" s="2">
        <v>1210.0</v>
      </c>
      <c r="D45" s="2">
        <v>178.0</v>
      </c>
      <c r="E45" s="2">
        <f t="shared" si="1"/>
        <v>1032</v>
      </c>
      <c r="F45" s="2">
        <f t="shared" si="2"/>
        <v>801</v>
      </c>
      <c r="G45" s="2">
        <v>102042.0</v>
      </c>
      <c r="H45" s="2">
        <v>5.42</v>
      </c>
      <c r="I45" s="2">
        <v>6915.0</v>
      </c>
    </row>
    <row r="46" ht="14.25" customHeight="1">
      <c r="A46" s="4">
        <v>45523.0</v>
      </c>
      <c r="B46" s="2" t="s">
        <v>31</v>
      </c>
      <c r="C46" s="2">
        <v>215.0</v>
      </c>
      <c r="D46" s="2">
        <v>139.0</v>
      </c>
      <c r="E46" s="2">
        <f t="shared" si="1"/>
        <v>76</v>
      </c>
      <c r="F46" s="2">
        <f t="shared" si="2"/>
        <v>381.6666667</v>
      </c>
      <c r="G46" s="2">
        <v>325444.0</v>
      </c>
      <c r="H46" s="2">
        <v>3.25</v>
      </c>
      <c r="I46" s="2">
        <v>35501.0</v>
      </c>
    </row>
    <row r="47" ht="14.25" customHeight="1">
      <c r="A47" s="4">
        <v>45523.0</v>
      </c>
      <c r="B47" s="2" t="s">
        <v>40</v>
      </c>
      <c r="C47" s="2">
        <v>1078.0</v>
      </c>
      <c r="D47" s="2">
        <v>20.0</v>
      </c>
      <c r="E47" s="2">
        <f t="shared" si="1"/>
        <v>1058</v>
      </c>
      <c r="F47" s="2">
        <f t="shared" si="2"/>
        <v>722</v>
      </c>
      <c r="G47" s="2">
        <v>183924.0</v>
      </c>
      <c r="H47" s="2">
        <v>8.84</v>
      </c>
      <c r="I47" s="2">
        <v>14203.0</v>
      </c>
    </row>
    <row r="48" ht="14.25" customHeight="1">
      <c r="A48" s="4">
        <v>45523.0</v>
      </c>
      <c r="B48" s="2" t="s">
        <v>14</v>
      </c>
      <c r="C48" s="2">
        <v>1751.0</v>
      </c>
      <c r="D48" s="2">
        <v>86.0</v>
      </c>
      <c r="E48" s="2">
        <f t="shared" si="1"/>
        <v>1665</v>
      </c>
      <c r="F48" s="2">
        <f t="shared" si="2"/>
        <v>933</v>
      </c>
      <c r="G48" s="2">
        <v>188655.0</v>
      </c>
      <c r="H48" s="2">
        <v>7.24</v>
      </c>
      <c r="I48" s="2">
        <v>22206.0</v>
      </c>
    </row>
    <row r="49" ht="14.25" customHeight="1">
      <c r="A49" s="4">
        <v>45523.0</v>
      </c>
      <c r="B49" s="2" t="s">
        <v>27</v>
      </c>
      <c r="C49" s="2">
        <v>221.0</v>
      </c>
      <c r="D49" s="2">
        <v>31.0</v>
      </c>
      <c r="E49" s="2">
        <f t="shared" si="1"/>
        <v>190</v>
      </c>
      <c r="F49" s="2">
        <f t="shared" si="2"/>
        <v>971</v>
      </c>
      <c r="G49" s="2">
        <v>87443.0</v>
      </c>
      <c r="H49" s="2">
        <v>6.19</v>
      </c>
      <c r="I49" s="2">
        <v>10283.0</v>
      </c>
    </row>
    <row r="50" ht="14.25" customHeight="1">
      <c r="A50" s="4">
        <v>45530.0</v>
      </c>
      <c r="B50" s="2" t="s">
        <v>31</v>
      </c>
      <c r="C50" s="2">
        <v>1685.0</v>
      </c>
      <c r="D50" s="2">
        <v>76.0</v>
      </c>
      <c r="E50" s="2">
        <f t="shared" si="1"/>
        <v>1609</v>
      </c>
      <c r="F50" s="2">
        <f t="shared" si="2"/>
        <v>1154.666667</v>
      </c>
      <c r="G50" s="2">
        <v>453799.0</v>
      </c>
      <c r="H50" s="2">
        <v>5.71</v>
      </c>
      <c r="I50" s="2">
        <v>24913.0</v>
      </c>
    </row>
    <row r="51" ht="14.25" customHeight="1">
      <c r="A51" s="4">
        <v>45530.0</v>
      </c>
      <c r="B51" s="2" t="s">
        <v>40</v>
      </c>
      <c r="C51" s="2">
        <v>248.0</v>
      </c>
      <c r="D51" s="2">
        <v>211.0</v>
      </c>
      <c r="E51" s="2">
        <f t="shared" si="1"/>
        <v>37</v>
      </c>
      <c r="F51" s="2">
        <f t="shared" si="2"/>
        <v>612</v>
      </c>
      <c r="G51" s="2">
        <v>379380.0</v>
      </c>
      <c r="H51" s="2">
        <v>9.04</v>
      </c>
      <c r="I51" s="2">
        <v>26925.0</v>
      </c>
    </row>
    <row r="52" ht="14.25" customHeight="1">
      <c r="A52" s="4">
        <v>45530.0</v>
      </c>
      <c r="B52" s="2" t="s">
        <v>14</v>
      </c>
      <c r="C52" s="2">
        <v>1300.0</v>
      </c>
      <c r="D52" s="2">
        <v>71.0</v>
      </c>
      <c r="E52" s="2">
        <f t="shared" si="1"/>
        <v>1229</v>
      </c>
      <c r="F52" s="2">
        <f t="shared" si="2"/>
        <v>958.3333333</v>
      </c>
      <c r="G52" s="2">
        <v>186454.0</v>
      </c>
      <c r="H52" s="2">
        <v>3.91</v>
      </c>
      <c r="I52" s="2">
        <v>9942.0</v>
      </c>
    </row>
    <row r="53" ht="14.25" customHeight="1">
      <c r="A53" s="4">
        <v>45530.0</v>
      </c>
      <c r="B53" s="2" t="s">
        <v>27</v>
      </c>
      <c r="C53" s="2">
        <v>422.0</v>
      </c>
      <c r="D53" s="2">
        <v>394.0</v>
      </c>
      <c r="E53" s="2">
        <f t="shared" si="1"/>
        <v>28</v>
      </c>
      <c r="F53" s="2">
        <f t="shared" si="2"/>
        <v>431.3333333</v>
      </c>
      <c r="G53" s="2">
        <v>239044.0</v>
      </c>
      <c r="H53" s="2">
        <v>7.83</v>
      </c>
      <c r="I53" s="2">
        <v>32929.0</v>
      </c>
    </row>
    <row r="54" ht="14.25" customHeight="1">
      <c r="A54" s="4">
        <v>45537.0</v>
      </c>
      <c r="B54" s="2" t="s">
        <v>31</v>
      </c>
      <c r="C54" s="2">
        <v>1429.0</v>
      </c>
      <c r="D54" s="2">
        <v>182.0</v>
      </c>
      <c r="E54" s="2">
        <f t="shared" si="1"/>
        <v>1247</v>
      </c>
      <c r="F54" s="2">
        <f t="shared" si="2"/>
        <v>834.6666667</v>
      </c>
      <c r="G54" s="2">
        <v>101332.0</v>
      </c>
      <c r="H54" s="2">
        <v>7.16</v>
      </c>
      <c r="I54" s="2">
        <v>37829.0</v>
      </c>
    </row>
    <row r="55" ht="14.25" customHeight="1">
      <c r="A55" s="4">
        <v>45537.0</v>
      </c>
      <c r="B55" s="2" t="s">
        <v>40</v>
      </c>
      <c r="C55" s="2">
        <v>1520.0</v>
      </c>
      <c r="D55" s="2">
        <v>475.0</v>
      </c>
      <c r="E55" s="2">
        <f t="shared" si="1"/>
        <v>1045</v>
      </c>
      <c r="F55" s="2">
        <f t="shared" si="2"/>
        <v>773.3333333</v>
      </c>
      <c r="G55" s="2">
        <v>496982.0</v>
      </c>
      <c r="H55" s="2">
        <v>6.41</v>
      </c>
      <c r="I55" s="2">
        <v>24384.0</v>
      </c>
    </row>
    <row r="56" ht="14.25" customHeight="1">
      <c r="A56" s="4">
        <v>45537.0</v>
      </c>
      <c r="B56" s="2" t="s">
        <v>14</v>
      </c>
      <c r="C56" s="2">
        <v>557.0</v>
      </c>
      <c r="D56" s="2">
        <v>360.0</v>
      </c>
      <c r="E56" s="2">
        <f t="shared" si="1"/>
        <v>197</v>
      </c>
      <c r="F56" s="2">
        <f t="shared" si="2"/>
        <v>829.6666667</v>
      </c>
      <c r="G56" s="2">
        <v>318779.0</v>
      </c>
      <c r="H56" s="2">
        <v>8.02</v>
      </c>
      <c r="I56" s="2">
        <v>25797.0</v>
      </c>
    </row>
    <row r="57" ht="14.25" customHeight="1">
      <c r="A57" s="4">
        <v>45537.0</v>
      </c>
      <c r="B57" s="2" t="s">
        <v>27</v>
      </c>
      <c r="C57" s="2">
        <v>728.0</v>
      </c>
      <c r="D57" s="2">
        <v>395.0</v>
      </c>
      <c r="E57" s="2">
        <f t="shared" si="1"/>
        <v>333</v>
      </c>
      <c r="F57" s="2">
        <f t="shared" si="2"/>
        <v>525</v>
      </c>
      <c r="G57" s="2">
        <v>370971.0</v>
      </c>
      <c r="H57" s="2">
        <v>3.86</v>
      </c>
      <c r="I57" s="2">
        <v>12646.0</v>
      </c>
    </row>
    <row r="58" ht="14.25" customHeight="1">
      <c r="A58" s="4">
        <v>45544.0</v>
      </c>
      <c r="B58" s="2" t="s">
        <v>31</v>
      </c>
      <c r="C58" s="2">
        <v>1592.0</v>
      </c>
      <c r="D58" s="2">
        <v>20.0</v>
      </c>
      <c r="E58" s="2">
        <f t="shared" si="1"/>
        <v>1572</v>
      </c>
      <c r="F58" s="2">
        <f t="shared" si="2"/>
        <v>700.6666667</v>
      </c>
      <c r="G58" s="2">
        <v>378054.0</v>
      </c>
      <c r="H58" s="2">
        <v>9.09</v>
      </c>
      <c r="I58" s="2">
        <v>26663.0</v>
      </c>
    </row>
    <row r="59" ht="14.25" customHeight="1">
      <c r="A59" s="4">
        <v>45544.0</v>
      </c>
      <c r="B59" s="2" t="s">
        <v>40</v>
      </c>
      <c r="C59" s="2">
        <v>1842.0</v>
      </c>
      <c r="D59" s="2">
        <v>414.0</v>
      </c>
      <c r="E59" s="2">
        <f t="shared" si="1"/>
        <v>1428</v>
      </c>
      <c r="F59" s="2">
        <f t="shared" si="2"/>
        <v>1111</v>
      </c>
      <c r="G59" s="2">
        <v>307524.0</v>
      </c>
      <c r="H59" s="2">
        <v>1.76</v>
      </c>
      <c r="I59" s="2">
        <v>40478.0</v>
      </c>
    </row>
    <row r="60" ht="14.25" customHeight="1">
      <c r="A60" s="4">
        <v>45544.0</v>
      </c>
      <c r="B60" s="2" t="s">
        <v>14</v>
      </c>
      <c r="C60" s="2">
        <v>751.0</v>
      </c>
      <c r="D60" s="2">
        <v>491.0</v>
      </c>
      <c r="E60" s="2">
        <f t="shared" si="1"/>
        <v>260</v>
      </c>
      <c r="F60" s="2">
        <f t="shared" si="2"/>
        <v>1086.666667</v>
      </c>
      <c r="G60" s="2">
        <v>434047.0</v>
      </c>
      <c r="H60" s="2">
        <v>9.24</v>
      </c>
      <c r="I60" s="2">
        <v>15476.0</v>
      </c>
    </row>
    <row r="61" ht="14.25" customHeight="1">
      <c r="A61" s="4">
        <v>45544.0</v>
      </c>
      <c r="B61" s="2" t="s">
        <v>27</v>
      </c>
      <c r="C61" s="2">
        <v>1409.0</v>
      </c>
      <c r="D61" s="2">
        <v>309.0</v>
      </c>
      <c r="E61" s="2">
        <f t="shared" si="1"/>
        <v>1100</v>
      </c>
      <c r="F61" s="2">
        <f t="shared" si="2"/>
        <v>929.3333333</v>
      </c>
      <c r="G61" s="2">
        <v>64583.0</v>
      </c>
      <c r="H61" s="2">
        <v>8.99</v>
      </c>
      <c r="I61" s="2">
        <v>10217.0</v>
      </c>
    </row>
    <row r="62" ht="14.25" customHeight="1">
      <c r="A62" s="4">
        <v>45551.0</v>
      </c>
      <c r="B62" s="2" t="s">
        <v>31</v>
      </c>
      <c r="C62" s="2">
        <v>778.0</v>
      </c>
      <c r="D62" s="2">
        <v>401.0</v>
      </c>
      <c r="E62" s="2">
        <f t="shared" si="1"/>
        <v>377</v>
      </c>
      <c r="F62" s="2">
        <f t="shared" si="2"/>
        <v>579</v>
      </c>
      <c r="G62" s="2">
        <v>50793.0</v>
      </c>
      <c r="H62" s="2">
        <v>3.4</v>
      </c>
      <c r="I62" s="2">
        <v>21939.0</v>
      </c>
    </row>
    <row r="63" ht="14.25" customHeight="1">
      <c r="A63" s="4">
        <v>45551.0</v>
      </c>
      <c r="B63" s="2" t="s">
        <v>40</v>
      </c>
      <c r="C63" s="2">
        <v>443.0</v>
      </c>
      <c r="D63" s="2">
        <v>345.0</v>
      </c>
      <c r="E63" s="2">
        <f t="shared" si="1"/>
        <v>98</v>
      </c>
      <c r="F63" s="2">
        <f t="shared" si="2"/>
        <v>525</v>
      </c>
      <c r="G63" s="2">
        <v>474162.0</v>
      </c>
      <c r="H63" s="2">
        <v>9.2</v>
      </c>
      <c r="I63" s="2">
        <v>47462.0</v>
      </c>
    </row>
    <row r="64" ht="14.25" customHeight="1">
      <c r="A64" s="4">
        <v>45551.0</v>
      </c>
      <c r="B64" s="2" t="s">
        <v>14</v>
      </c>
      <c r="C64" s="2">
        <v>1472.0</v>
      </c>
      <c r="D64" s="2">
        <v>347.0</v>
      </c>
      <c r="E64" s="2">
        <f t="shared" si="1"/>
        <v>1125</v>
      </c>
      <c r="F64" s="2">
        <f t="shared" si="2"/>
        <v>533.3333333</v>
      </c>
      <c r="G64" s="2">
        <v>392355.0</v>
      </c>
      <c r="H64" s="2">
        <v>8.59</v>
      </c>
      <c r="I64" s="2">
        <v>30270.0</v>
      </c>
    </row>
    <row r="65" ht="14.25" customHeight="1">
      <c r="A65" s="4">
        <v>45551.0</v>
      </c>
      <c r="B65" s="2" t="s">
        <v>27</v>
      </c>
      <c r="C65" s="2">
        <v>123.0</v>
      </c>
      <c r="D65" s="2">
        <v>155.0</v>
      </c>
      <c r="E65" s="2">
        <f t="shared" si="1"/>
        <v>-32</v>
      </c>
      <c r="F65" s="2">
        <f t="shared" si="2"/>
        <v>397</v>
      </c>
      <c r="G65" s="2">
        <v>119934.0</v>
      </c>
      <c r="H65" s="2">
        <v>3.5</v>
      </c>
      <c r="I65" s="2">
        <v>5442.0</v>
      </c>
    </row>
    <row r="66" ht="14.25" customHeight="1">
      <c r="A66" s="4">
        <v>45558.0</v>
      </c>
      <c r="B66" s="2" t="s">
        <v>31</v>
      </c>
      <c r="C66" s="2">
        <v>817.0</v>
      </c>
      <c r="D66" s="2">
        <v>151.0</v>
      </c>
      <c r="E66" s="2">
        <f t="shared" si="1"/>
        <v>666</v>
      </c>
      <c r="F66" s="2">
        <f t="shared" si="2"/>
        <v>586.3333333</v>
      </c>
      <c r="G66" s="2">
        <v>422625.0</v>
      </c>
      <c r="H66" s="2">
        <v>2.36</v>
      </c>
      <c r="I66" s="2">
        <v>1083.0</v>
      </c>
    </row>
    <row r="67" ht="14.25" customHeight="1">
      <c r="A67" s="4">
        <v>45558.0</v>
      </c>
      <c r="B67" s="2" t="s">
        <v>40</v>
      </c>
      <c r="C67" s="2">
        <v>198.0</v>
      </c>
      <c r="D67" s="2">
        <v>217.0</v>
      </c>
      <c r="E67" s="2">
        <f t="shared" si="1"/>
        <v>-19</v>
      </c>
      <c r="F67" s="2">
        <f t="shared" si="2"/>
        <v>205</v>
      </c>
      <c r="G67" s="2">
        <v>239753.0</v>
      </c>
      <c r="H67" s="2">
        <v>7.36</v>
      </c>
      <c r="I67" s="2">
        <v>11901.0</v>
      </c>
    </row>
    <row r="68" ht="14.25" customHeight="1">
      <c r="A68" s="4">
        <v>45558.0</v>
      </c>
      <c r="B68" s="2" t="s">
        <v>14</v>
      </c>
      <c r="C68" s="2">
        <v>1911.0</v>
      </c>
      <c r="D68" s="2">
        <v>231.0</v>
      </c>
      <c r="E68" s="2">
        <f t="shared" si="1"/>
        <v>1680</v>
      </c>
      <c r="F68" s="2">
        <f t="shared" si="2"/>
        <v>775.6666667</v>
      </c>
      <c r="G68" s="2">
        <v>268516.0</v>
      </c>
      <c r="H68" s="2">
        <v>8.55</v>
      </c>
      <c r="I68" s="2">
        <v>24018.0</v>
      </c>
    </row>
    <row r="69" ht="14.25" customHeight="1">
      <c r="A69" s="4">
        <v>45558.0</v>
      </c>
      <c r="B69" s="2" t="s">
        <v>27</v>
      </c>
      <c r="C69" s="2">
        <v>1218.0</v>
      </c>
      <c r="D69" s="2">
        <v>212.0</v>
      </c>
      <c r="E69" s="2">
        <f t="shared" si="1"/>
        <v>1006</v>
      </c>
      <c r="F69" s="2">
        <f t="shared" si="2"/>
        <v>889</v>
      </c>
      <c r="G69" s="2">
        <v>63177.0</v>
      </c>
      <c r="H69" s="2">
        <v>8.13</v>
      </c>
      <c r="I69" s="2">
        <v>38883.0</v>
      </c>
    </row>
    <row r="70" ht="14.25" customHeight="1">
      <c r="A70" s="4">
        <v>45565.0</v>
      </c>
      <c r="B70" s="2" t="s">
        <v>31</v>
      </c>
      <c r="C70" s="2">
        <v>1433.0</v>
      </c>
      <c r="D70" s="2">
        <v>408.0</v>
      </c>
      <c r="E70" s="2">
        <f t="shared" si="1"/>
        <v>1025</v>
      </c>
      <c r="F70" s="2">
        <f t="shared" si="2"/>
        <v>1237</v>
      </c>
      <c r="G70" s="2">
        <v>370269.0</v>
      </c>
      <c r="H70" s="2">
        <v>3.3</v>
      </c>
      <c r="I70" s="2">
        <v>30575.0</v>
      </c>
    </row>
    <row r="71" ht="14.25" customHeight="1">
      <c r="A71" s="4">
        <v>45565.0</v>
      </c>
      <c r="B71" s="2" t="s">
        <v>40</v>
      </c>
      <c r="C71" s="2">
        <v>250.0</v>
      </c>
      <c r="D71" s="2">
        <v>429.0</v>
      </c>
      <c r="E71" s="2">
        <f t="shared" si="1"/>
        <v>-179</v>
      </c>
      <c r="F71" s="2">
        <f t="shared" si="2"/>
        <v>617.3333333</v>
      </c>
      <c r="G71" s="2">
        <v>453423.0</v>
      </c>
      <c r="H71" s="2">
        <v>1.77</v>
      </c>
      <c r="I71" s="2">
        <v>2315.0</v>
      </c>
    </row>
    <row r="72" ht="14.25" customHeight="1">
      <c r="A72" s="4">
        <v>45565.0</v>
      </c>
      <c r="B72" s="2" t="s">
        <v>14</v>
      </c>
      <c r="C72" s="2">
        <v>752.0</v>
      </c>
      <c r="D72" s="2">
        <v>153.0</v>
      </c>
      <c r="E72" s="2">
        <f t="shared" si="1"/>
        <v>599</v>
      </c>
      <c r="F72" s="2">
        <f t="shared" si="2"/>
        <v>481.6666667</v>
      </c>
      <c r="G72" s="2">
        <v>64906.0</v>
      </c>
      <c r="H72" s="2">
        <v>2.09</v>
      </c>
      <c r="I72" s="2">
        <v>12148.0</v>
      </c>
    </row>
    <row r="73" ht="14.25" customHeight="1">
      <c r="A73" s="4">
        <v>45565.0</v>
      </c>
      <c r="B73" s="2" t="s">
        <v>27</v>
      </c>
      <c r="C73" s="2">
        <v>1918.0</v>
      </c>
      <c r="D73" s="2">
        <v>212.0</v>
      </c>
      <c r="E73" s="2">
        <f t="shared" si="1"/>
        <v>1706</v>
      </c>
      <c r="F73" s="2">
        <f t="shared" si="2"/>
        <v>708.6666667</v>
      </c>
      <c r="G73" s="2">
        <v>94360.0</v>
      </c>
      <c r="H73" s="2">
        <v>7.36</v>
      </c>
      <c r="I73" s="2">
        <v>36851.0</v>
      </c>
    </row>
    <row r="74" ht="14.25" customHeight="1">
      <c r="A74" s="4">
        <v>45572.0</v>
      </c>
      <c r="B74" s="2" t="s">
        <v>31</v>
      </c>
      <c r="C74" s="2">
        <v>1939.0</v>
      </c>
      <c r="D74" s="2">
        <v>67.0</v>
      </c>
      <c r="E74" s="2">
        <f t="shared" si="1"/>
        <v>1872</v>
      </c>
      <c r="F74" s="2">
        <f t="shared" si="2"/>
        <v>1392.333333</v>
      </c>
      <c r="G74" s="2">
        <v>187183.0</v>
      </c>
      <c r="H74" s="2">
        <v>6.25</v>
      </c>
      <c r="I74" s="2">
        <v>41215.0</v>
      </c>
    </row>
    <row r="75" ht="14.25" customHeight="1">
      <c r="A75" s="4">
        <v>45572.0</v>
      </c>
      <c r="B75" s="2" t="s">
        <v>40</v>
      </c>
      <c r="C75" s="2">
        <v>1929.0</v>
      </c>
      <c r="D75" s="2">
        <v>267.0</v>
      </c>
      <c r="E75" s="2">
        <f t="shared" si="1"/>
        <v>1662</v>
      </c>
      <c r="F75" s="2">
        <f t="shared" si="2"/>
        <v>1746.666667</v>
      </c>
      <c r="G75" s="2">
        <v>379363.0</v>
      </c>
      <c r="H75" s="2">
        <v>1.75</v>
      </c>
      <c r="I75" s="2">
        <v>43836.0</v>
      </c>
    </row>
    <row r="76" ht="14.25" customHeight="1">
      <c r="A76" s="4">
        <v>45572.0</v>
      </c>
      <c r="B76" s="2" t="s">
        <v>14</v>
      </c>
      <c r="C76" s="2">
        <v>437.0</v>
      </c>
      <c r="D76" s="2">
        <v>330.0</v>
      </c>
      <c r="E76" s="2">
        <f t="shared" si="1"/>
        <v>107</v>
      </c>
      <c r="F76" s="2">
        <f t="shared" si="2"/>
        <v>1213.666667</v>
      </c>
      <c r="G76" s="2">
        <v>476486.0</v>
      </c>
      <c r="H76" s="2">
        <v>4.97</v>
      </c>
      <c r="I76" s="2">
        <v>4509.0</v>
      </c>
    </row>
    <row r="77" ht="14.25" customHeight="1">
      <c r="A77" s="4">
        <v>45572.0</v>
      </c>
      <c r="B77" s="2" t="s">
        <v>27</v>
      </c>
      <c r="C77" s="2">
        <v>307.0</v>
      </c>
      <c r="D77" s="2">
        <v>189.0</v>
      </c>
      <c r="E77" s="2">
        <f t="shared" si="1"/>
        <v>118</v>
      </c>
      <c r="F77" s="2">
        <f t="shared" si="2"/>
        <v>629</v>
      </c>
      <c r="G77" s="2">
        <v>117767.0</v>
      </c>
      <c r="H77" s="2">
        <v>9.3</v>
      </c>
      <c r="I77" s="2">
        <v>27822.0</v>
      </c>
    </row>
    <row r="78" ht="14.25" customHeight="1">
      <c r="A78" s="4">
        <v>45579.0</v>
      </c>
      <c r="B78" s="2" t="s">
        <v>31</v>
      </c>
      <c r="C78" s="2">
        <v>1527.0</v>
      </c>
      <c r="D78" s="2">
        <v>303.0</v>
      </c>
      <c r="E78" s="2">
        <f t="shared" si="1"/>
        <v>1224</v>
      </c>
      <c r="F78" s="2">
        <f t="shared" si="2"/>
        <v>483</v>
      </c>
      <c r="G78" s="2">
        <v>388555.0</v>
      </c>
      <c r="H78" s="2">
        <v>8.9</v>
      </c>
      <c r="I78" s="2">
        <v>36397.0</v>
      </c>
    </row>
    <row r="79" ht="14.25" customHeight="1">
      <c r="A79" s="4">
        <v>45579.0</v>
      </c>
      <c r="B79" s="2" t="s">
        <v>40</v>
      </c>
      <c r="C79" s="2">
        <v>643.0</v>
      </c>
      <c r="D79" s="2">
        <v>358.0</v>
      </c>
      <c r="E79" s="2">
        <f t="shared" si="1"/>
        <v>285</v>
      </c>
      <c r="F79" s="2">
        <f t="shared" si="2"/>
        <v>542.3333333</v>
      </c>
      <c r="G79" s="2">
        <v>157599.0</v>
      </c>
      <c r="H79" s="2">
        <v>3.88</v>
      </c>
      <c r="I79" s="2">
        <v>7285.0</v>
      </c>
    </row>
    <row r="80" ht="14.25" customHeight="1">
      <c r="A80" s="4">
        <v>45579.0</v>
      </c>
      <c r="B80" s="2" t="s">
        <v>14</v>
      </c>
      <c r="C80" s="2">
        <v>201.0</v>
      </c>
      <c r="D80" s="2">
        <v>221.0</v>
      </c>
      <c r="E80" s="2">
        <f t="shared" si="1"/>
        <v>-20</v>
      </c>
      <c r="F80" s="2">
        <f t="shared" si="2"/>
        <v>496.3333333</v>
      </c>
      <c r="G80" s="2">
        <v>309772.0</v>
      </c>
      <c r="H80" s="2">
        <v>5.9</v>
      </c>
      <c r="I80" s="2">
        <v>33174.0</v>
      </c>
    </row>
    <row r="81" ht="14.25" customHeight="1">
      <c r="A81" s="4">
        <v>45579.0</v>
      </c>
      <c r="B81" s="2" t="s">
        <v>27</v>
      </c>
      <c r="C81" s="2">
        <v>414.0</v>
      </c>
      <c r="D81" s="2">
        <v>47.0</v>
      </c>
      <c r="E81" s="2">
        <f t="shared" si="1"/>
        <v>367</v>
      </c>
      <c r="F81" s="2">
        <f t="shared" si="2"/>
        <v>210.6666667</v>
      </c>
      <c r="G81" s="2">
        <v>199178.0</v>
      </c>
      <c r="H81" s="2">
        <v>1.53</v>
      </c>
      <c r="I81" s="2">
        <v>6742.0</v>
      </c>
    </row>
    <row r="82" ht="14.25" customHeight="1">
      <c r="A82" s="4">
        <v>45586.0</v>
      </c>
      <c r="B82" s="2" t="s">
        <v>31</v>
      </c>
      <c r="C82" s="2">
        <v>703.0</v>
      </c>
      <c r="D82" s="2">
        <v>441.0</v>
      </c>
      <c r="E82" s="2">
        <f t="shared" si="1"/>
        <v>262</v>
      </c>
      <c r="F82" s="2">
        <f t="shared" si="2"/>
        <v>203</v>
      </c>
      <c r="G82" s="2">
        <v>357089.0</v>
      </c>
      <c r="H82" s="2">
        <v>6.5</v>
      </c>
      <c r="I82" s="2">
        <v>32478.0</v>
      </c>
    </row>
    <row r="83" ht="14.25" customHeight="1">
      <c r="A83" s="4">
        <v>45586.0</v>
      </c>
      <c r="B83" s="2" t="s">
        <v>40</v>
      </c>
      <c r="C83" s="2">
        <v>508.0</v>
      </c>
      <c r="D83" s="2">
        <v>69.0</v>
      </c>
      <c r="E83" s="2">
        <f t="shared" si="1"/>
        <v>439</v>
      </c>
      <c r="F83" s="2">
        <f t="shared" si="2"/>
        <v>356</v>
      </c>
      <c r="G83" s="2">
        <v>23492.0</v>
      </c>
      <c r="H83" s="2">
        <v>3.16</v>
      </c>
      <c r="I83" s="2">
        <v>42824.0</v>
      </c>
    </row>
    <row r="84" ht="14.25" customHeight="1">
      <c r="A84" s="4">
        <v>45586.0</v>
      </c>
      <c r="B84" s="2" t="s">
        <v>14</v>
      </c>
      <c r="C84" s="2">
        <v>697.0</v>
      </c>
      <c r="D84" s="2">
        <v>61.0</v>
      </c>
      <c r="E84" s="2">
        <f t="shared" si="1"/>
        <v>636</v>
      </c>
      <c r="F84" s="2">
        <f t="shared" si="2"/>
        <v>445.6666667</v>
      </c>
      <c r="G84" s="2">
        <v>258287.0</v>
      </c>
      <c r="H84" s="2">
        <v>8.25</v>
      </c>
      <c r="I84" s="2">
        <v>21208.0</v>
      </c>
    </row>
    <row r="85" ht="14.25" customHeight="1">
      <c r="A85" s="4">
        <v>45586.0</v>
      </c>
      <c r="B85" s="2" t="s">
        <v>27</v>
      </c>
      <c r="C85" s="2">
        <v>1707.0</v>
      </c>
      <c r="D85" s="2">
        <v>223.0</v>
      </c>
      <c r="E85" s="2">
        <f t="shared" si="1"/>
        <v>1484</v>
      </c>
      <c r="F85" s="2">
        <f t="shared" si="2"/>
        <v>853</v>
      </c>
      <c r="G85" s="2">
        <v>256910.0</v>
      </c>
      <c r="H85" s="2">
        <v>5.41</v>
      </c>
      <c r="I85" s="2">
        <v>44321.0</v>
      </c>
    </row>
    <row r="86" ht="14.25" customHeight="1">
      <c r="A86" s="4">
        <v>45593.0</v>
      </c>
      <c r="B86" s="2" t="s">
        <v>31</v>
      </c>
      <c r="C86" s="2">
        <v>642.0</v>
      </c>
      <c r="D86" s="2">
        <v>66.0</v>
      </c>
      <c r="E86" s="2">
        <f t="shared" si="1"/>
        <v>576</v>
      </c>
      <c r="F86" s="2">
        <f t="shared" si="2"/>
        <v>898.6666667</v>
      </c>
      <c r="G86" s="2">
        <v>346522.0</v>
      </c>
      <c r="H86" s="2">
        <v>5.85</v>
      </c>
      <c r="I86" s="2">
        <v>13116.0</v>
      </c>
    </row>
    <row r="87" ht="14.25" customHeight="1">
      <c r="A87" s="4">
        <v>45593.0</v>
      </c>
      <c r="B87" s="2" t="s">
        <v>40</v>
      </c>
      <c r="C87" s="2">
        <v>859.0</v>
      </c>
      <c r="D87" s="2">
        <v>473.0</v>
      </c>
      <c r="E87" s="2">
        <f t="shared" si="1"/>
        <v>386</v>
      </c>
      <c r="F87" s="2">
        <f t="shared" si="2"/>
        <v>815.3333333</v>
      </c>
      <c r="G87" s="2">
        <v>209987.0</v>
      </c>
      <c r="H87" s="2">
        <v>4.46</v>
      </c>
      <c r="I87" s="2">
        <v>30214.0</v>
      </c>
    </row>
    <row r="88" ht="14.25" customHeight="1">
      <c r="A88" s="4">
        <v>45593.0</v>
      </c>
      <c r="B88" s="2" t="s">
        <v>14</v>
      </c>
      <c r="C88" s="2">
        <v>191.0</v>
      </c>
      <c r="D88" s="2">
        <v>154.0</v>
      </c>
      <c r="E88" s="2">
        <f t="shared" si="1"/>
        <v>37</v>
      </c>
      <c r="F88" s="2">
        <f t="shared" si="2"/>
        <v>333</v>
      </c>
      <c r="G88" s="2">
        <v>240550.0</v>
      </c>
      <c r="H88" s="2">
        <v>5.22</v>
      </c>
      <c r="I88" s="2">
        <v>15827.0</v>
      </c>
    </row>
    <row r="89" ht="14.25" customHeight="1">
      <c r="A89" s="4">
        <v>45593.0</v>
      </c>
      <c r="B89" s="2" t="s">
        <v>27</v>
      </c>
      <c r="C89" s="2">
        <v>1814.0</v>
      </c>
      <c r="D89" s="2">
        <v>157.0</v>
      </c>
      <c r="E89" s="2">
        <f t="shared" si="1"/>
        <v>1657</v>
      </c>
      <c r="F89" s="2">
        <f t="shared" si="2"/>
        <v>693.3333333</v>
      </c>
      <c r="G89" s="2">
        <v>305827.0</v>
      </c>
      <c r="H89" s="2">
        <v>1.99</v>
      </c>
      <c r="I89" s="2">
        <v>46643.0</v>
      </c>
    </row>
    <row r="90" ht="14.25" customHeight="1">
      <c r="A90" s="4">
        <v>45600.0</v>
      </c>
      <c r="B90" s="2" t="s">
        <v>31</v>
      </c>
      <c r="C90" s="2">
        <v>1466.0</v>
      </c>
      <c r="D90" s="2">
        <v>69.0</v>
      </c>
      <c r="E90" s="2">
        <f t="shared" si="1"/>
        <v>1397</v>
      </c>
      <c r="F90" s="2">
        <f t="shared" si="2"/>
        <v>1030.333333</v>
      </c>
      <c r="G90" s="2">
        <v>54935.0</v>
      </c>
      <c r="H90" s="2">
        <v>6.85</v>
      </c>
      <c r="I90" s="2">
        <v>36484.0</v>
      </c>
    </row>
    <row r="91" ht="14.25" customHeight="1">
      <c r="A91" s="4">
        <v>45600.0</v>
      </c>
      <c r="B91" s="2" t="s">
        <v>40</v>
      </c>
      <c r="C91" s="2">
        <v>947.0</v>
      </c>
      <c r="D91" s="2">
        <v>407.0</v>
      </c>
      <c r="E91" s="2">
        <f t="shared" si="1"/>
        <v>540</v>
      </c>
      <c r="F91" s="2">
        <f t="shared" si="2"/>
        <v>1198</v>
      </c>
      <c r="G91" s="2">
        <v>319186.0</v>
      </c>
      <c r="H91" s="2">
        <v>3.32</v>
      </c>
      <c r="I91" s="2">
        <v>4996.0</v>
      </c>
    </row>
    <row r="92" ht="14.25" customHeight="1">
      <c r="A92" s="4">
        <v>45600.0</v>
      </c>
      <c r="B92" s="2" t="s">
        <v>14</v>
      </c>
      <c r="C92" s="2">
        <v>1821.0</v>
      </c>
      <c r="D92" s="2">
        <v>218.0</v>
      </c>
      <c r="E92" s="2">
        <f t="shared" si="1"/>
        <v>1603</v>
      </c>
      <c r="F92" s="2">
        <f t="shared" si="2"/>
        <v>1180</v>
      </c>
      <c r="G92" s="2">
        <v>439080.0</v>
      </c>
      <c r="H92" s="2">
        <v>5.68</v>
      </c>
      <c r="I92" s="2">
        <v>36095.0</v>
      </c>
    </row>
    <row r="93" ht="14.25" customHeight="1">
      <c r="A93" s="4">
        <v>45600.0</v>
      </c>
      <c r="B93" s="2" t="s">
        <v>27</v>
      </c>
      <c r="C93" s="2">
        <v>1507.0</v>
      </c>
      <c r="D93" s="2">
        <v>463.0</v>
      </c>
      <c r="E93" s="2">
        <f t="shared" si="1"/>
        <v>1044</v>
      </c>
      <c r="F93" s="2">
        <f t="shared" si="2"/>
        <v>1062.333333</v>
      </c>
      <c r="G93" s="2">
        <v>258944.0</v>
      </c>
      <c r="H93" s="2">
        <v>6.08</v>
      </c>
      <c r="I93" s="2">
        <v>16443.0</v>
      </c>
    </row>
    <row r="94" ht="14.25" customHeight="1">
      <c r="A94" s="4">
        <v>45607.0</v>
      </c>
      <c r="B94" s="2" t="s">
        <v>31</v>
      </c>
      <c r="C94" s="2">
        <v>1075.0</v>
      </c>
      <c r="D94" s="2">
        <v>173.0</v>
      </c>
      <c r="E94" s="2">
        <f t="shared" si="1"/>
        <v>902</v>
      </c>
      <c r="F94" s="2">
        <f t="shared" si="2"/>
        <v>1183</v>
      </c>
      <c r="G94" s="2">
        <v>51395.0</v>
      </c>
      <c r="H94" s="2">
        <v>4.66</v>
      </c>
      <c r="I94" s="2">
        <v>47812.0</v>
      </c>
    </row>
    <row r="95" ht="14.25" customHeight="1">
      <c r="A95" s="4">
        <v>45607.0</v>
      </c>
      <c r="B95" s="2" t="s">
        <v>40</v>
      </c>
      <c r="C95" s="2">
        <v>171.0</v>
      </c>
      <c r="D95" s="2">
        <v>277.0</v>
      </c>
      <c r="E95" s="2">
        <f t="shared" si="1"/>
        <v>-106</v>
      </c>
      <c r="F95" s="2">
        <f t="shared" si="2"/>
        <v>613.3333333</v>
      </c>
      <c r="G95" s="2">
        <v>309483.0</v>
      </c>
      <c r="H95" s="2">
        <v>8.7</v>
      </c>
      <c r="I95" s="2">
        <v>38452.0</v>
      </c>
    </row>
    <row r="96" ht="14.25" customHeight="1">
      <c r="A96" s="4">
        <v>45607.0</v>
      </c>
      <c r="B96" s="2" t="s">
        <v>14</v>
      </c>
      <c r="C96" s="2">
        <v>1487.0</v>
      </c>
      <c r="D96" s="2">
        <v>337.0</v>
      </c>
      <c r="E96" s="2">
        <f t="shared" si="1"/>
        <v>1150</v>
      </c>
      <c r="F96" s="2">
        <f t="shared" si="2"/>
        <v>648.6666667</v>
      </c>
      <c r="G96" s="2">
        <v>87305.0</v>
      </c>
      <c r="H96" s="2">
        <v>2.46</v>
      </c>
      <c r="I96" s="2">
        <v>30428.0</v>
      </c>
    </row>
    <row r="97" ht="14.25" customHeight="1">
      <c r="A97" s="4">
        <v>45607.0</v>
      </c>
      <c r="B97" s="2" t="s">
        <v>27</v>
      </c>
      <c r="C97" s="2">
        <v>454.0</v>
      </c>
      <c r="D97" s="2">
        <v>105.0</v>
      </c>
      <c r="E97" s="2">
        <f t="shared" si="1"/>
        <v>349</v>
      </c>
      <c r="F97" s="2">
        <f t="shared" si="2"/>
        <v>464.3333333</v>
      </c>
      <c r="G97" s="2">
        <v>121091.0</v>
      </c>
      <c r="H97" s="2">
        <v>7.97</v>
      </c>
      <c r="I97" s="2">
        <v>9269.0</v>
      </c>
    </row>
    <row r="98" ht="14.25" customHeight="1">
      <c r="A98" s="4">
        <v>45614.0</v>
      </c>
      <c r="B98" s="2" t="s">
        <v>31</v>
      </c>
      <c r="C98" s="2">
        <v>187.0</v>
      </c>
      <c r="D98" s="2">
        <v>236.0</v>
      </c>
      <c r="E98" s="2">
        <f t="shared" si="1"/>
        <v>-49</v>
      </c>
      <c r="F98" s="2">
        <f t="shared" si="2"/>
        <v>483.3333333</v>
      </c>
      <c r="G98" s="2">
        <v>51087.0</v>
      </c>
      <c r="H98" s="2">
        <v>9.41</v>
      </c>
      <c r="I98" s="2">
        <v>29533.0</v>
      </c>
    </row>
    <row r="99" ht="14.25" customHeight="1">
      <c r="A99" s="4">
        <v>45614.0</v>
      </c>
      <c r="B99" s="2" t="s">
        <v>40</v>
      </c>
      <c r="C99" s="2">
        <v>513.0</v>
      </c>
      <c r="D99" s="2">
        <v>441.0</v>
      </c>
      <c r="E99" s="2">
        <f t="shared" si="1"/>
        <v>72</v>
      </c>
      <c r="F99" s="2">
        <f t="shared" si="2"/>
        <v>124</v>
      </c>
      <c r="G99" s="2">
        <v>338847.0</v>
      </c>
      <c r="H99" s="2">
        <v>2.68</v>
      </c>
      <c r="I99" s="2">
        <v>39997.0</v>
      </c>
    </row>
    <row r="100" ht="14.25" customHeight="1">
      <c r="A100" s="4">
        <v>45614.0</v>
      </c>
      <c r="B100" s="2" t="s">
        <v>14</v>
      </c>
      <c r="C100" s="2">
        <v>628.0</v>
      </c>
      <c r="D100" s="2">
        <v>183.0</v>
      </c>
      <c r="E100" s="2">
        <f t="shared" si="1"/>
        <v>445</v>
      </c>
      <c r="F100" s="2">
        <f t="shared" si="2"/>
        <v>156</v>
      </c>
      <c r="G100" s="2">
        <v>487523.0</v>
      </c>
      <c r="H100" s="2">
        <v>7.32</v>
      </c>
      <c r="I100" s="2">
        <v>5391.0</v>
      </c>
    </row>
    <row r="101" ht="14.25" customHeight="1">
      <c r="A101" s="4">
        <v>45614.0</v>
      </c>
      <c r="B101" s="2" t="s">
        <v>27</v>
      </c>
      <c r="C101" s="2">
        <v>278.0</v>
      </c>
      <c r="D101" s="2">
        <v>218.0</v>
      </c>
      <c r="E101" s="2">
        <f t="shared" si="1"/>
        <v>60</v>
      </c>
      <c r="F101" s="2">
        <f t="shared" si="2"/>
        <v>192.3333333</v>
      </c>
      <c r="G101" s="2">
        <v>301695.0</v>
      </c>
      <c r="H101" s="2">
        <v>4.68</v>
      </c>
      <c r="I101" s="2">
        <v>22373.0</v>
      </c>
    </row>
    <row r="102" ht="14.25" customHeight="1">
      <c r="A102" s="4">
        <v>45621.0</v>
      </c>
      <c r="B102" s="2" t="s">
        <v>31</v>
      </c>
      <c r="C102" s="2">
        <v>1854.0</v>
      </c>
      <c r="D102" s="2">
        <v>161.0</v>
      </c>
      <c r="E102" s="2">
        <f t="shared" si="1"/>
        <v>1693</v>
      </c>
      <c r="F102" s="2">
        <f t="shared" si="2"/>
        <v>732.6666667</v>
      </c>
      <c r="G102" s="2">
        <v>282466.0</v>
      </c>
      <c r="H102" s="2">
        <v>5.17</v>
      </c>
      <c r="I102" s="2">
        <v>1810.0</v>
      </c>
    </row>
    <row r="103" ht="14.25" customHeight="1">
      <c r="A103" s="4">
        <v>45621.0</v>
      </c>
      <c r="B103" s="2" t="s">
        <v>40</v>
      </c>
      <c r="C103" s="2">
        <v>1710.0</v>
      </c>
      <c r="D103" s="2">
        <v>378.0</v>
      </c>
      <c r="E103" s="2">
        <f t="shared" si="1"/>
        <v>1332</v>
      </c>
      <c r="F103" s="2">
        <f t="shared" si="2"/>
        <v>1028.333333</v>
      </c>
      <c r="G103" s="2">
        <v>336661.0</v>
      </c>
      <c r="H103" s="2">
        <v>6.2</v>
      </c>
      <c r="I103" s="2">
        <v>28498.0</v>
      </c>
    </row>
    <row r="104" ht="14.25" customHeight="1">
      <c r="A104" s="4">
        <v>45621.0</v>
      </c>
      <c r="B104" s="2" t="s">
        <v>14</v>
      </c>
      <c r="C104" s="2">
        <v>330.0</v>
      </c>
      <c r="D104" s="2">
        <v>232.0</v>
      </c>
      <c r="E104" s="2">
        <f t="shared" si="1"/>
        <v>98</v>
      </c>
      <c r="F104" s="2">
        <f t="shared" si="2"/>
        <v>1041</v>
      </c>
      <c r="G104" s="2">
        <v>88455.0</v>
      </c>
      <c r="H104" s="2">
        <v>2.69</v>
      </c>
      <c r="I104" s="2">
        <v>39530.0</v>
      </c>
    </row>
    <row r="105" ht="14.25" customHeight="1">
      <c r="A105" s="4">
        <v>45621.0</v>
      </c>
      <c r="B105" s="2" t="s">
        <v>27</v>
      </c>
      <c r="C105" s="2">
        <v>1293.0</v>
      </c>
      <c r="D105" s="2">
        <v>408.0</v>
      </c>
      <c r="E105" s="2">
        <f t="shared" si="1"/>
        <v>885</v>
      </c>
      <c r="F105" s="2">
        <f t="shared" si="2"/>
        <v>771.6666667</v>
      </c>
      <c r="G105" s="2">
        <v>62535.0</v>
      </c>
      <c r="H105" s="2">
        <v>8.9</v>
      </c>
      <c r="I105" s="2">
        <v>37876.0</v>
      </c>
    </row>
    <row r="106" ht="14.25" customHeight="1">
      <c r="A106" s="4">
        <v>45628.0</v>
      </c>
      <c r="B106" s="2" t="s">
        <v>31</v>
      </c>
      <c r="C106" s="2">
        <v>1696.0</v>
      </c>
      <c r="D106" s="2">
        <v>71.0</v>
      </c>
      <c r="E106" s="2">
        <f t="shared" si="1"/>
        <v>1625</v>
      </c>
      <c r="F106" s="2">
        <f t="shared" si="2"/>
        <v>869.3333333</v>
      </c>
      <c r="G106" s="2">
        <v>421957.0</v>
      </c>
      <c r="H106" s="2">
        <v>3.79</v>
      </c>
      <c r="I106" s="2">
        <v>36103.0</v>
      </c>
    </row>
    <row r="107" ht="14.25" customHeight="1">
      <c r="A107" s="4">
        <v>45628.0</v>
      </c>
      <c r="B107" s="2" t="s">
        <v>40</v>
      </c>
      <c r="C107" s="2">
        <v>1902.0</v>
      </c>
      <c r="D107" s="2">
        <v>196.0</v>
      </c>
      <c r="E107" s="2">
        <f t="shared" si="1"/>
        <v>1706</v>
      </c>
      <c r="F107" s="2">
        <f t="shared" si="2"/>
        <v>1405.333333</v>
      </c>
      <c r="G107" s="2">
        <v>470269.0</v>
      </c>
      <c r="H107" s="2">
        <v>4.79</v>
      </c>
      <c r="I107" s="2">
        <v>26103.0</v>
      </c>
    </row>
    <row r="108" ht="14.25" customHeight="1">
      <c r="A108" s="4">
        <v>45628.0</v>
      </c>
      <c r="B108" s="2" t="s">
        <v>14</v>
      </c>
      <c r="C108" s="2">
        <v>1441.0</v>
      </c>
      <c r="D108" s="2">
        <v>268.0</v>
      </c>
      <c r="E108" s="2">
        <f t="shared" si="1"/>
        <v>1173</v>
      </c>
      <c r="F108" s="2">
        <f t="shared" si="2"/>
        <v>1501.333333</v>
      </c>
      <c r="G108" s="2">
        <v>309904.0</v>
      </c>
      <c r="H108" s="2">
        <v>6.37</v>
      </c>
      <c r="I108" s="2">
        <v>3455.0</v>
      </c>
    </row>
    <row r="109" ht="14.25" customHeight="1">
      <c r="A109" s="4">
        <v>45628.0</v>
      </c>
      <c r="B109" s="2" t="s">
        <v>27</v>
      </c>
      <c r="C109" s="2">
        <v>452.0</v>
      </c>
      <c r="D109" s="2">
        <v>161.0</v>
      </c>
      <c r="E109" s="2">
        <f t="shared" si="1"/>
        <v>291</v>
      </c>
      <c r="F109" s="2">
        <f t="shared" si="2"/>
        <v>1056.666667</v>
      </c>
      <c r="G109" s="2">
        <v>221274.0</v>
      </c>
      <c r="H109" s="2">
        <v>2.65</v>
      </c>
      <c r="I109" s="2">
        <v>40888.0</v>
      </c>
    </row>
    <row r="110" ht="14.25" customHeight="1">
      <c r="A110" s="4">
        <v>45635.0</v>
      </c>
      <c r="B110" s="2" t="s">
        <v>31</v>
      </c>
      <c r="C110" s="2">
        <v>1494.0</v>
      </c>
      <c r="D110" s="2">
        <v>375.0</v>
      </c>
      <c r="E110" s="2">
        <f t="shared" si="1"/>
        <v>1119</v>
      </c>
      <c r="F110" s="2">
        <f t="shared" si="2"/>
        <v>861</v>
      </c>
      <c r="G110" s="2">
        <v>220616.0</v>
      </c>
      <c r="H110" s="2">
        <v>1.81</v>
      </c>
      <c r="I110" s="2">
        <v>22724.0</v>
      </c>
    </row>
    <row r="111" ht="14.25" customHeight="1">
      <c r="A111" s="4">
        <v>45635.0</v>
      </c>
      <c r="B111" s="2" t="s">
        <v>40</v>
      </c>
      <c r="C111" s="2">
        <v>1514.0</v>
      </c>
      <c r="D111" s="2">
        <v>141.0</v>
      </c>
      <c r="E111" s="2">
        <f t="shared" si="1"/>
        <v>1373</v>
      </c>
      <c r="F111" s="2">
        <f t="shared" si="2"/>
        <v>927.6666667</v>
      </c>
      <c r="G111" s="2">
        <v>35842.0</v>
      </c>
      <c r="H111" s="2">
        <v>7.47</v>
      </c>
      <c r="I111" s="2">
        <v>18601.0</v>
      </c>
    </row>
    <row r="112" ht="14.25" customHeight="1">
      <c r="A112" s="4">
        <v>45635.0</v>
      </c>
      <c r="B112" s="2" t="s">
        <v>14</v>
      </c>
      <c r="C112" s="2">
        <v>1937.0</v>
      </c>
      <c r="D112" s="2">
        <v>210.0</v>
      </c>
      <c r="E112" s="2">
        <f t="shared" si="1"/>
        <v>1727</v>
      </c>
      <c r="F112" s="2">
        <f t="shared" si="2"/>
        <v>1406.333333</v>
      </c>
      <c r="G112" s="2">
        <v>20607.0</v>
      </c>
      <c r="H112" s="2">
        <v>4.2</v>
      </c>
      <c r="I112" s="2">
        <v>20861.0</v>
      </c>
    </row>
    <row r="113" ht="14.25" customHeight="1">
      <c r="A113" s="4">
        <v>45635.0</v>
      </c>
      <c r="B113" s="2" t="s">
        <v>27</v>
      </c>
      <c r="C113" s="2">
        <v>736.0</v>
      </c>
      <c r="D113" s="2">
        <v>163.0</v>
      </c>
      <c r="E113" s="2">
        <f t="shared" si="1"/>
        <v>573</v>
      </c>
      <c r="F113" s="2">
        <f t="shared" si="2"/>
        <v>1224.333333</v>
      </c>
      <c r="G113" s="2">
        <v>451894.0</v>
      </c>
      <c r="H113" s="2">
        <v>5.43</v>
      </c>
      <c r="I113" s="2">
        <v>46625.0</v>
      </c>
    </row>
    <row r="114" ht="14.25" customHeight="1">
      <c r="A114" s="4">
        <v>45642.0</v>
      </c>
      <c r="B114" s="2" t="s">
        <v>31</v>
      </c>
      <c r="C114" s="2">
        <v>1502.0</v>
      </c>
      <c r="D114" s="2">
        <v>70.0</v>
      </c>
      <c r="E114" s="2">
        <f t="shared" si="1"/>
        <v>1432</v>
      </c>
      <c r="F114" s="2">
        <f t="shared" si="2"/>
        <v>1244</v>
      </c>
      <c r="G114" s="2">
        <v>465553.0</v>
      </c>
      <c r="H114" s="2">
        <v>3.32</v>
      </c>
      <c r="I114" s="2">
        <v>20692.0</v>
      </c>
    </row>
    <row r="115" ht="14.25" customHeight="1">
      <c r="A115" s="4">
        <v>45642.0</v>
      </c>
      <c r="B115" s="2" t="s">
        <v>40</v>
      </c>
      <c r="C115" s="2">
        <v>1623.0</v>
      </c>
      <c r="D115" s="2">
        <v>246.0</v>
      </c>
      <c r="E115" s="2">
        <f t="shared" si="1"/>
        <v>1377</v>
      </c>
      <c r="F115" s="2">
        <f t="shared" si="2"/>
        <v>1127.333333</v>
      </c>
      <c r="G115" s="2">
        <v>415815.0</v>
      </c>
      <c r="H115" s="2">
        <v>8.11</v>
      </c>
      <c r="I115" s="2">
        <v>18656.0</v>
      </c>
    </row>
    <row r="116" ht="14.25" customHeight="1">
      <c r="A116" s="4">
        <v>45642.0</v>
      </c>
      <c r="B116" s="2" t="s">
        <v>14</v>
      </c>
      <c r="C116" s="2">
        <v>1592.0</v>
      </c>
      <c r="D116" s="2">
        <v>233.0</v>
      </c>
      <c r="E116" s="2">
        <f t="shared" si="1"/>
        <v>1359</v>
      </c>
      <c r="F116" s="2">
        <f t="shared" si="2"/>
        <v>1389.333333</v>
      </c>
      <c r="G116" s="2">
        <v>327183.0</v>
      </c>
      <c r="H116" s="2">
        <v>6.66</v>
      </c>
      <c r="I116" s="2">
        <v>13316.0</v>
      </c>
    </row>
    <row r="117" ht="14.25" customHeight="1">
      <c r="A117" s="4">
        <v>45642.0</v>
      </c>
      <c r="B117" s="2" t="s">
        <v>27</v>
      </c>
      <c r="C117" s="2">
        <v>1004.0</v>
      </c>
      <c r="D117" s="2">
        <v>128.0</v>
      </c>
      <c r="E117" s="2">
        <f t="shared" si="1"/>
        <v>876</v>
      </c>
      <c r="F117" s="2">
        <f t="shared" si="2"/>
        <v>1204</v>
      </c>
      <c r="G117" s="2">
        <v>488901.0</v>
      </c>
      <c r="H117" s="2">
        <v>8.09</v>
      </c>
      <c r="I117" s="2">
        <v>49558.0</v>
      </c>
    </row>
    <row r="118" ht="14.25" customHeight="1">
      <c r="A118" s="4">
        <v>45649.0</v>
      </c>
      <c r="B118" s="2" t="s">
        <v>31</v>
      </c>
      <c r="C118" s="2">
        <v>1092.0</v>
      </c>
      <c r="D118" s="2">
        <v>408.0</v>
      </c>
      <c r="E118" s="2">
        <f t="shared" si="1"/>
        <v>684</v>
      </c>
      <c r="F118" s="2">
        <f t="shared" si="2"/>
        <v>973</v>
      </c>
      <c r="G118" s="2">
        <v>280795.0</v>
      </c>
      <c r="H118" s="2">
        <v>8.44</v>
      </c>
      <c r="I118" s="2">
        <v>4683.0</v>
      </c>
    </row>
    <row r="119" ht="14.25" customHeight="1">
      <c r="A119" s="4">
        <v>45649.0</v>
      </c>
      <c r="B119" s="2" t="s">
        <v>40</v>
      </c>
      <c r="C119" s="2">
        <v>1155.0</v>
      </c>
      <c r="D119" s="2">
        <v>425.0</v>
      </c>
      <c r="E119" s="2">
        <f t="shared" si="1"/>
        <v>730</v>
      </c>
      <c r="F119" s="2">
        <f t="shared" si="2"/>
        <v>763.3333333</v>
      </c>
      <c r="G119" s="2">
        <v>93347.0</v>
      </c>
      <c r="H119" s="2">
        <v>2.02</v>
      </c>
      <c r="I119" s="2">
        <v>47502.0</v>
      </c>
    </row>
    <row r="120" ht="14.25" customHeight="1">
      <c r="A120" s="4">
        <v>45649.0</v>
      </c>
      <c r="B120" s="2" t="s">
        <v>14</v>
      </c>
      <c r="C120" s="2">
        <v>1137.0</v>
      </c>
      <c r="D120" s="2">
        <v>226.0</v>
      </c>
      <c r="E120" s="2">
        <f t="shared" si="1"/>
        <v>911</v>
      </c>
      <c r="F120" s="2">
        <f t="shared" si="2"/>
        <v>775</v>
      </c>
      <c r="G120" s="2">
        <v>81119.0</v>
      </c>
      <c r="H120" s="2">
        <v>7.74</v>
      </c>
      <c r="I120" s="2">
        <v>35359.0</v>
      </c>
    </row>
    <row r="121" ht="14.25" customHeight="1">
      <c r="A121" s="4">
        <v>45649.0</v>
      </c>
      <c r="B121" s="2" t="s">
        <v>27</v>
      </c>
      <c r="C121" s="2">
        <v>1900.0</v>
      </c>
      <c r="D121" s="2">
        <v>311.0</v>
      </c>
      <c r="E121" s="2">
        <f t="shared" si="1"/>
        <v>1589</v>
      </c>
      <c r="F121" s="2">
        <f t="shared" si="2"/>
        <v>1076.666667</v>
      </c>
      <c r="G121" s="2">
        <v>25177.0</v>
      </c>
      <c r="H121" s="2">
        <v>2.89</v>
      </c>
      <c r="I121" s="2">
        <v>14154.0</v>
      </c>
    </row>
    <row r="122" ht="14.25" customHeight="1">
      <c r="A122" s="4">
        <v>45656.0</v>
      </c>
      <c r="B122" s="2" t="s">
        <v>31</v>
      </c>
      <c r="C122" s="2">
        <v>1814.0</v>
      </c>
      <c r="D122" s="2">
        <v>49.0</v>
      </c>
      <c r="E122" s="2">
        <f t="shared" si="1"/>
        <v>1765</v>
      </c>
      <c r="F122" s="2">
        <f t="shared" si="2"/>
        <v>1421.666667</v>
      </c>
      <c r="G122" s="2">
        <v>140804.0</v>
      </c>
      <c r="H122" s="2">
        <v>1.76</v>
      </c>
      <c r="I122" s="2">
        <v>4313.0</v>
      </c>
    </row>
    <row r="123" ht="14.25" customHeight="1">
      <c r="A123" s="4">
        <v>45656.0</v>
      </c>
      <c r="B123" s="2" t="s">
        <v>40</v>
      </c>
      <c r="C123" s="2">
        <v>1980.0</v>
      </c>
      <c r="D123" s="2">
        <v>204.0</v>
      </c>
      <c r="E123" s="2">
        <f t="shared" si="1"/>
        <v>1776</v>
      </c>
      <c r="F123" s="2">
        <f t="shared" si="2"/>
        <v>1710</v>
      </c>
      <c r="G123" s="2">
        <v>379431.0</v>
      </c>
      <c r="H123" s="2">
        <v>3.09</v>
      </c>
      <c r="I123" s="2">
        <v>25140.0</v>
      </c>
    </row>
    <row r="124" ht="14.25" customHeight="1">
      <c r="A124" s="4">
        <v>45656.0</v>
      </c>
      <c r="B124" s="2" t="s">
        <v>14</v>
      </c>
      <c r="C124" s="2">
        <v>1786.0</v>
      </c>
      <c r="D124" s="2">
        <v>257.0</v>
      </c>
      <c r="E124" s="2">
        <f t="shared" si="1"/>
        <v>1529</v>
      </c>
      <c r="F124" s="2">
        <f t="shared" si="2"/>
        <v>1690</v>
      </c>
      <c r="G124" s="2">
        <v>274831.0</v>
      </c>
      <c r="H124" s="2">
        <v>4.68</v>
      </c>
      <c r="I124" s="2">
        <v>9118.0</v>
      </c>
    </row>
    <row r="125" ht="14.25" customHeight="1">
      <c r="A125" s="4">
        <v>45656.0</v>
      </c>
      <c r="B125" s="2" t="s">
        <v>27</v>
      </c>
      <c r="C125" s="2">
        <v>1495.0</v>
      </c>
      <c r="D125" s="2">
        <v>35.0</v>
      </c>
      <c r="E125" s="2">
        <f t="shared" si="1"/>
        <v>1460</v>
      </c>
      <c r="F125" s="2">
        <f t="shared" si="2"/>
        <v>1588.333333</v>
      </c>
      <c r="G125" s="2">
        <v>136845.0</v>
      </c>
      <c r="H125" s="2">
        <v>4.48</v>
      </c>
      <c r="I125" s="2">
        <v>39931.0</v>
      </c>
    </row>
    <row r="126" ht="14.25" customHeight="1">
      <c r="A126" s="4">
        <v>45663.0</v>
      </c>
      <c r="B126" s="2" t="s">
        <v>31</v>
      </c>
      <c r="C126" s="2">
        <v>1013.0</v>
      </c>
      <c r="D126" s="2">
        <v>110.0</v>
      </c>
      <c r="E126" s="2">
        <f t="shared" si="1"/>
        <v>903</v>
      </c>
      <c r="F126" s="2">
        <f t="shared" si="2"/>
        <v>1297.333333</v>
      </c>
      <c r="G126" s="2">
        <v>466382.0</v>
      </c>
      <c r="H126" s="2">
        <v>5.3</v>
      </c>
      <c r="I126" s="2">
        <v>37132.0</v>
      </c>
    </row>
    <row r="127" ht="14.25" customHeight="1">
      <c r="A127" s="4">
        <v>45663.0</v>
      </c>
      <c r="B127" s="2" t="s">
        <v>40</v>
      </c>
      <c r="C127" s="2">
        <v>816.0</v>
      </c>
      <c r="D127" s="2">
        <v>196.0</v>
      </c>
      <c r="E127" s="2">
        <f t="shared" si="1"/>
        <v>620</v>
      </c>
      <c r="F127" s="2">
        <f t="shared" si="2"/>
        <v>994.3333333</v>
      </c>
      <c r="G127" s="2">
        <v>95728.0</v>
      </c>
      <c r="H127" s="2">
        <v>8.2</v>
      </c>
      <c r="I127" s="2">
        <v>17951.0</v>
      </c>
    </row>
    <row r="128" ht="14.25" customHeight="1">
      <c r="A128" s="4">
        <v>45663.0</v>
      </c>
      <c r="B128" s="2" t="s">
        <v>14</v>
      </c>
      <c r="C128" s="2">
        <v>1633.0</v>
      </c>
      <c r="D128" s="2">
        <v>445.0</v>
      </c>
      <c r="E128" s="2">
        <f t="shared" si="1"/>
        <v>1188</v>
      </c>
      <c r="F128" s="2">
        <f t="shared" si="2"/>
        <v>903.6666667</v>
      </c>
      <c r="G128" s="2">
        <v>371156.0</v>
      </c>
      <c r="H128" s="2">
        <v>2.22</v>
      </c>
      <c r="I128" s="2">
        <v>2798.0</v>
      </c>
    </row>
    <row r="129" ht="14.25" customHeight="1">
      <c r="A129" s="4">
        <v>45663.0</v>
      </c>
      <c r="B129" s="2" t="s">
        <v>27</v>
      </c>
      <c r="C129" s="2">
        <v>891.0</v>
      </c>
      <c r="D129" s="2">
        <v>45.0</v>
      </c>
      <c r="E129" s="2">
        <f t="shared" si="1"/>
        <v>846</v>
      </c>
      <c r="F129" s="2">
        <f t="shared" si="2"/>
        <v>884.6666667</v>
      </c>
      <c r="G129" s="2">
        <v>95410.0</v>
      </c>
      <c r="H129" s="2">
        <v>8.33</v>
      </c>
      <c r="I129" s="2">
        <v>15045.0</v>
      </c>
    </row>
    <row r="130" ht="14.25" customHeight="1">
      <c r="A130" s="4">
        <v>45670.0</v>
      </c>
      <c r="B130" s="2" t="s">
        <v>31</v>
      </c>
      <c r="C130" s="2">
        <v>1855.0</v>
      </c>
      <c r="D130" s="2">
        <v>133.0</v>
      </c>
      <c r="E130" s="2">
        <f t="shared" si="1"/>
        <v>1722</v>
      </c>
      <c r="F130" s="2">
        <f t="shared" si="2"/>
        <v>1252</v>
      </c>
      <c r="G130" s="2">
        <v>349413.0</v>
      </c>
      <c r="H130" s="2">
        <v>3.3</v>
      </c>
      <c r="I130" s="2">
        <v>14548.0</v>
      </c>
    </row>
    <row r="131" ht="14.25" customHeight="1">
      <c r="A131" s="4">
        <v>45670.0</v>
      </c>
      <c r="B131" s="2" t="s">
        <v>40</v>
      </c>
      <c r="C131" s="2">
        <v>651.0</v>
      </c>
      <c r="D131" s="2">
        <v>353.0</v>
      </c>
      <c r="E131" s="2">
        <f t="shared" si="1"/>
        <v>298</v>
      </c>
      <c r="F131" s="2">
        <f t="shared" si="2"/>
        <v>955.3333333</v>
      </c>
      <c r="G131" s="2">
        <v>224699.0</v>
      </c>
      <c r="H131" s="2">
        <v>5.61</v>
      </c>
      <c r="I131" s="2">
        <v>45708.0</v>
      </c>
    </row>
    <row r="132" ht="14.25" customHeight="1">
      <c r="A132" s="4">
        <v>45670.0</v>
      </c>
      <c r="B132" s="2" t="s">
        <v>14</v>
      </c>
      <c r="C132" s="2">
        <v>118.0</v>
      </c>
      <c r="D132" s="2">
        <v>262.0</v>
      </c>
      <c r="E132" s="2">
        <f t="shared" si="1"/>
        <v>-144</v>
      </c>
      <c r="F132" s="2">
        <f t="shared" si="2"/>
        <v>625.3333333</v>
      </c>
      <c r="G132" s="2">
        <v>487896.0</v>
      </c>
      <c r="H132" s="2">
        <v>2.56</v>
      </c>
      <c r="I132" s="2">
        <v>12350.0</v>
      </c>
    </row>
    <row r="133" ht="14.25" customHeight="1">
      <c r="A133" s="4">
        <v>45670.0</v>
      </c>
      <c r="B133" s="2" t="s">
        <v>27</v>
      </c>
      <c r="C133" s="2">
        <v>1331.0</v>
      </c>
      <c r="D133" s="2">
        <v>430.0</v>
      </c>
      <c r="E133" s="2">
        <f t="shared" si="1"/>
        <v>901</v>
      </c>
      <c r="F133" s="2">
        <f t="shared" si="2"/>
        <v>351.6666667</v>
      </c>
      <c r="G133" s="2">
        <v>14437.0</v>
      </c>
      <c r="H133" s="2">
        <v>3.29</v>
      </c>
      <c r="I133" s="2">
        <v>40868.0</v>
      </c>
    </row>
    <row r="134" ht="14.25" customHeight="1">
      <c r="A134" s="4">
        <v>45677.0</v>
      </c>
      <c r="B134" s="2" t="s">
        <v>31</v>
      </c>
      <c r="C134" s="2">
        <v>1748.0</v>
      </c>
      <c r="D134" s="2">
        <v>176.0</v>
      </c>
      <c r="E134" s="2">
        <f t="shared" si="1"/>
        <v>1572</v>
      </c>
      <c r="F134" s="2">
        <f t="shared" si="2"/>
        <v>776.3333333</v>
      </c>
      <c r="G134" s="2">
        <v>383681.0</v>
      </c>
      <c r="H134" s="2">
        <v>9.24</v>
      </c>
      <c r="I134" s="2">
        <v>43122.0</v>
      </c>
    </row>
    <row r="135" ht="14.25" customHeight="1">
      <c r="A135" s="4">
        <v>45677.0</v>
      </c>
      <c r="B135" s="2" t="s">
        <v>40</v>
      </c>
      <c r="C135" s="2">
        <v>663.0</v>
      </c>
      <c r="D135" s="2">
        <v>236.0</v>
      </c>
      <c r="E135" s="2">
        <f t="shared" si="1"/>
        <v>427</v>
      </c>
      <c r="F135" s="2">
        <f t="shared" si="2"/>
        <v>966.6666667</v>
      </c>
      <c r="G135" s="2">
        <v>479490.0</v>
      </c>
      <c r="H135" s="2">
        <v>4.51</v>
      </c>
      <c r="I135" s="2">
        <v>23853.0</v>
      </c>
    </row>
    <row r="136" ht="14.25" customHeight="1">
      <c r="A136" s="4">
        <v>45677.0</v>
      </c>
      <c r="B136" s="2" t="s">
        <v>14</v>
      </c>
      <c r="C136" s="2">
        <v>1040.0</v>
      </c>
      <c r="D136" s="2">
        <v>149.0</v>
      </c>
      <c r="E136" s="2">
        <f t="shared" si="1"/>
        <v>891</v>
      </c>
      <c r="F136" s="2">
        <f t="shared" si="2"/>
        <v>963.3333333</v>
      </c>
      <c r="G136" s="2">
        <v>124404.0</v>
      </c>
      <c r="H136" s="2">
        <v>5.23</v>
      </c>
      <c r="I136" s="2">
        <v>45380.0</v>
      </c>
    </row>
    <row r="137" ht="14.25" customHeight="1">
      <c r="A137" s="4">
        <v>45677.0</v>
      </c>
      <c r="B137" s="2" t="s">
        <v>27</v>
      </c>
      <c r="C137" s="2">
        <v>1166.0</v>
      </c>
      <c r="D137" s="2">
        <v>442.0</v>
      </c>
      <c r="E137" s="2">
        <f t="shared" si="1"/>
        <v>724</v>
      </c>
      <c r="F137" s="2">
        <f t="shared" si="2"/>
        <v>680.6666667</v>
      </c>
      <c r="G137" s="2">
        <v>336949.0</v>
      </c>
      <c r="H137" s="2">
        <v>4.68</v>
      </c>
      <c r="I137" s="2">
        <v>7705.0</v>
      </c>
    </row>
    <row r="138" ht="14.25" customHeight="1">
      <c r="A138" s="4">
        <v>45684.0</v>
      </c>
      <c r="B138" s="2" t="s">
        <v>31</v>
      </c>
      <c r="C138" s="2">
        <v>115.0</v>
      </c>
      <c r="D138" s="2">
        <v>281.0</v>
      </c>
      <c r="E138" s="2">
        <f t="shared" si="1"/>
        <v>-166</v>
      </c>
      <c r="F138" s="2">
        <f t="shared" si="2"/>
        <v>483</v>
      </c>
      <c r="G138" s="2">
        <v>357265.0</v>
      </c>
      <c r="H138" s="2">
        <v>9.23</v>
      </c>
      <c r="I138" s="2">
        <v>25525.0</v>
      </c>
    </row>
    <row r="139" ht="14.25" customHeight="1">
      <c r="A139" s="4">
        <v>45684.0</v>
      </c>
      <c r="B139" s="2" t="s">
        <v>40</v>
      </c>
      <c r="C139" s="2">
        <v>1249.0</v>
      </c>
      <c r="D139" s="2">
        <v>351.0</v>
      </c>
      <c r="E139" s="2">
        <f t="shared" si="1"/>
        <v>898</v>
      </c>
      <c r="F139" s="2">
        <f t="shared" si="2"/>
        <v>485.3333333</v>
      </c>
      <c r="G139" s="2">
        <v>321307.0</v>
      </c>
      <c r="H139" s="2">
        <v>6.37</v>
      </c>
      <c r="I139" s="2">
        <v>20560.0</v>
      </c>
    </row>
    <row r="140" ht="14.25" customHeight="1">
      <c r="A140" s="4">
        <v>45684.0</v>
      </c>
      <c r="B140" s="2" t="s">
        <v>14</v>
      </c>
      <c r="C140" s="2">
        <v>1501.0</v>
      </c>
      <c r="D140" s="2">
        <v>75.0</v>
      </c>
      <c r="E140" s="2">
        <f t="shared" si="1"/>
        <v>1426</v>
      </c>
      <c r="F140" s="2">
        <f t="shared" si="2"/>
        <v>719.3333333</v>
      </c>
      <c r="G140" s="2">
        <v>262569.0</v>
      </c>
      <c r="H140" s="2">
        <v>2.01</v>
      </c>
      <c r="I140" s="2">
        <v>19119.0</v>
      </c>
    </row>
    <row r="141" ht="14.25" customHeight="1">
      <c r="A141" s="4">
        <v>45684.0</v>
      </c>
      <c r="B141" s="2" t="s">
        <v>27</v>
      </c>
      <c r="C141" s="2">
        <v>1411.0</v>
      </c>
      <c r="D141" s="2">
        <v>186.0</v>
      </c>
      <c r="E141" s="2">
        <f t="shared" si="1"/>
        <v>1225</v>
      </c>
      <c r="F141" s="2">
        <f t="shared" si="2"/>
        <v>1183</v>
      </c>
      <c r="G141" s="2">
        <v>461669.0</v>
      </c>
      <c r="H141" s="2">
        <v>3.72</v>
      </c>
      <c r="I141" s="2">
        <v>43999.0</v>
      </c>
    </row>
    <row r="142" ht="14.25" customHeight="1">
      <c r="A142" s="4">
        <v>45691.0</v>
      </c>
      <c r="B142" s="2" t="s">
        <v>31</v>
      </c>
      <c r="C142" s="2">
        <v>1556.0</v>
      </c>
      <c r="D142" s="2">
        <v>476.0</v>
      </c>
      <c r="E142" s="2">
        <f t="shared" si="1"/>
        <v>1080</v>
      </c>
      <c r="F142" s="2">
        <f t="shared" si="2"/>
        <v>1243.666667</v>
      </c>
      <c r="G142" s="2">
        <v>351556.0</v>
      </c>
      <c r="H142" s="2">
        <v>3.89</v>
      </c>
      <c r="I142" s="2">
        <v>10825.0</v>
      </c>
    </row>
    <row r="143" ht="14.25" customHeight="1">
      <c r="A143" s="4">
        <v>45691.0</v>
      </c>
      <c r="B143" s="2" t="s">
        <v>40</v>
      </c>
      <c r="C143" s="2">
        <v>1159.0</v>
      </c>
      <c r="D143" s="2">
        <v>411.0</v>
      </c>
      <c r="E143" s="2">
        <f t="shared" si="1"/>
        <v>748</v>
      </c>
      <c r="F143" s="2">
        <f t="shared" si="2"/>
        <v>1017.666667</v>
      </c>
      <c r="G143" s="2">
        <v>135987.0</v>
      </c>
      <c r="H143" s="2">
        <v>8.7</v>
      </c>
      <c r="I143" s="2">
        <v>40323.0</v>
      </c>
    </row>
    <row r="144" ht="14.25" customHeight="1">
      <c r="A144" s="4">
        <v>45691.0</v>
      </c>
      <c r="B144" s="2" t="s">
        <v>14</v>
      </c>
      <c r="C144" s="2">
        <v>927.0</v>
      </c>
      <c r="D144" s="2">
        <v>358.0</v>
      </c>
      <c r="E144" s="2">
        <f t="shared" si="1"/>
        <v>569</v>
      </c>
      <c r="F144" s="2">
        <f t="shared" si="2"/>
        <v>799</v>
      </c>
      <c r="G144" s="2">
        <v>177554.0</v>
      </c>
      <c r="H144" s="2">
        <v>6.95</v>
      </c>
      <c r="I144" s="2">
        <v>48270.0</v>
      </c>
    </row>
    <row r="145" ht="14.25" customHeight="1">
      <c r="A145" s="4">
        <v>45691.0</v>
      </c>
      <c r="B145" s="2" t="s">
        <v>27</v>
      </c>
      <c r="C145" s="2">
        <v>152.0</v>
      </c>
      <c r="D145" s="2">
        <v>355.0</v>
      </c>
      <c r="E145" s="2">
        <f t="shared" si="1"/>
        <v>-203</v>
      </c>
      <c r="F145" s="2">
        <f t="shared" si="2"/>
        <v>371.3333333</v>
      </c>
      <c r="G145" s="2">
        <v>270766.0</v>
      </c>
      <c r="H145" s="2">
        <v>9.48</v>
      </c>
      <c r="I145" s="2">
        <v>18001.0</v>
      </c>
    </row>
    <row r="146" ht="14.25" customHeight="1">
      <c r="A146" s="4">
        <v>45698.0</v>
      </c>
      <c r="B146" s="2" t="s">
        <v>31</v>
      </c>
      <c r="C146" s="2">
        <v>1957.0</v>
      </c>
      <c r="D146" s="2">
        <v>234.0</v>
      </c>
      <c r="E146" s="2">
        <f t="shared" si="1"/>
        <v>1723</v>
      </c>
      <c r="F146" s="2">
        <f t="shared" si="2"/>
        <v>696.3333333</v>
      </c>
      <c r="G146" s="2">
        <v>222126.0</v>
      </c>
      <c r="H146" s="2">
        <v>4.61</v>
      </c>
      <c r="I146" s="2">
        <v>3314.0</v>
      </c>
    </row>
    <row r="147" ht="14.25" customHeight="1">
      <c r="A147" s="4">
        <v>45698.0</v>
      </c>
      <c r="B147" s="2" t="s">
        <v>40</v>
      </c>
      <c r="C147" s="2">
        <v>1294.0</v>
      </c>
      <c r="D147" s="2">
        <v>382.0</v>
      </c>
      <c r="E147" s="2">
        <f t="shared" si="1"/>
        <v>912</v>
      </c>
      <c r="F147" s="2">
        <f t="shared" si="2"/>
        <v>810.6666667</v>
      </c>
      <c r="G147" s="2">
        <v>309914.0</v>
      </c>
      <c r="H147" s="2">
        <v>8.03</v>
      </c>
      <c r="I147" s="2">
        <v>23489.0</v>
      </c>
    </row>
    <row r="148" ht="14.25" customHeight="1">
      <c r="A148" s="4">
        <v>45698.0</v>
      </c>
      <c r="B148" s="2" t="s">
        <v>14</v>
      </c>
      <c r="C148" s="2">
        <v>1587.0</v>
      </c>
      <c r="D148" s="2">
        <v>385.0</v>
      </c>
      <c r="E148" s="2">
        <f t="shared" si="1"/>
        <v>1202</v>
      </c>
      <c r="F148" s="2">
        <f t="shared" si="2"/>
        <v>1279</v>
      </c>
      <c r="G148" s="2">
        <v>126582.0</v>
      </c>
      <c r="H148" s="2">
        <v>6.99</v>
      </c>
      <c r="I148" s="2">
        <v>42832.0</v>
      </c>
    </row>
    <row r="149" ht="14.25" customHeight="1">
      <c r="A149" s="4">
        <v>45698.0</v>
      </c>
      <c r="B149" s="2" t="s">
        <v>27</v>
      </c>
      <c r="C149" s="2">
        <v>1707.0</v>
      </c>
      <c r="D149" s="2">
        <v>263.0</v>
      </c>
      <c r="E149" s="2">
        <f t="shared" si="1"/>
        <v>1444</v>
      </c>
      <c r="F149" s="2">
        <f t="shared" si="2"/>
        <v>1186</v>
      </c>
      <c r="G149" s="2">
        <v>485280.0</v>
      </c>
      <c r="H149" s="2">
        <v>9.03</v>
      </c>
      <c r="I149" s="2">
        <v>24494.0</v>
      </c>
    </row>
    <row r="150" ht="14.25" customHeight="1">
      <c r="A150" s="4">
        <v>45705.0</v>
      </c>
      <c r="B150" s="2" t="s">
        <v>31</v>
      </c>
      <c r="C150" s="2">
        <v>1138.0</v>
      </c>
      <c r="D150" s="2">
        <v>173.0</v>
      </c>
      <c r="E150" s="2">
        <f t="shared" si="1"/>
        <v>965</v>
      </c>
      <c r="F150" s="2">
        <f t="shared" si="2"/>
        <v>1203.666667</v>
      </c>
      <c r="G150" s="2">
        <v>453243.0</v>
      </c>
      <c r="H150" s="2">
        <v>2.86</v>
      </c>
      <c r="I150" s="2">
        <v>44097.0</v>
      </c>
    </row>
    <row r="151" ht="14.25" customHeight="1">
      <c r="A151" s="4">
        <v>45705.0</v>
      </c>
      <c r="B151" s="2" t="s">
        <v>40</v>
      </c>
      <c r="C151" s="2">
        <v>1895.0</v>
      </c>
      <c r="D151" s="2">
        <v>305.0</v>
      </c>
      <c r="E151" s="2">
        <f t="shared" si="1"/>
        <v>1590</v>
      </c>
      <c r="F151" s="2">
        <f t="shared" si="2"/>
        <v>1333</v>
      </c>
      <c r="G151" s="2">
        <v>104967.0</v>
      </c>
      <c r="H151" s="2">
        <v>3.85</v>
      </c>
      <c r="I151" s="2">
        <v>31853.0</v>
      </c>
    </row>
    <row r="152" ht="14.25" customHeight="1">
      <c r="A152" s="4">
        <v>45705.0</v>
      </c>
      <c r="B152" s="2" t="s">
        <v>14</v>
      </c>
      <c r="C152" s="2">
        <v>362.0</v>
      </c>
      <c r="D152" s="2">
        <v>399.0</v>
      </c>
      <c r="E152" s="2">
        <f t="shared" si="1"/>
        <v>-37</v>
      </c>
      <c r="F152" s="2">
        <f t="shared" si="2"/>
        <v>839.3333333</v>
      </c>
      <c r="G152" s="2">
        <v>145608.0</v>
      </c>
      <c r="H152" s="2">
        <v>7.3</v>
      </c>
      <c r="I152" s="2">
        <v>37636.0</v>
      </c>
    </row>
    <row r="153" ht="14.25" customHeight="1">
      <c r="A153" s="4">
        <v>45705.0</v>
      </c>
      <c r="B153" s="2" t="s">
        <v>27</v>
      </c>
      <c r="C153" s="2">
        <v>1662.0</v>
      </c>
      <c r="D153" s="2">
        <v>487.0</v>
      </c>
      <c r="E153" s="2">
        <f t="shared" si="1"/>
        <v>1175</v>
      </c>
      <c r="F153" s="2">
        <f t="shared" si="2"/>
        <v>909.3333333</v>
      </c>
      <c r="G153" s="2">
        <v>105980.0</v>
      </c>
      <c r="H153" s="2">
        <v>9.08</v>
      </c>
      <c r="I153" s="2">
        <v>22996.0</v>
      </c>
    </row>
    <row r="154" ht="14.25" customHeight="1">
      <c r="A154" s="4">
        <v>45712.0</v>
      </c>
      <c r="B154" s="2" t="s">
        <v>31</v>
      </c>
      <c r="C154" s="2">
        <v>1440.0</v>
      </c>
      <c r="D154" s="2">
        <v>65.0</v>
      </c>
      <c r="E154" s="2">
        <f t="shared" si="1"/>
        <v>1375</v>
      </c>
      <c r="F154" s="2">
        <f t="shared" si="2"/>
        <v>837.6666667</v>
      </c>
      <c r="G154" s="2">
        <v>126524.0</v>
      </c>
      <c r="H154" s="2">
        <v>4.34</v>
      </c>
      <c r="I154" s="2">
        <v>49772.0</v>
      </c>
    </row>
    <row r="155" ht="14.25" customHeight="1">
      <c r="A155" s="4">
        <v>45712.0</v>
      </c>
      <c r="B155" s="2" t="s">
        <v>40</v>
      </c>
      <c r="C155" s="2">
        <v>1884.0</v>
      </c>
      <c r="D155" s="2">
        <v>177.0</v>
      </c>
      <c r="E155" s="2">
        <f t="shared" si="1"/>
        <v>1707</v>
      </c>
      <c r="F155" s="2">
        <f t="shared" si="2"/>
        <v>1419</v>
      </c>
      <c r="G155" s="2">
        <v>230448.0</v>
      </c>
      <c r="H155" s="2">
        <v>7.8</v>
      </c>
      <c r="I155" s="2">
        <v>22713.0</v>
      </c>
    </row>
    <row r="156" ht="14.25" customHeight="1">
      <c r="A156" s="4">
        <v>45712.0</v>
      </c>
      <c r="B156" s="2" t="s">
        <v>14</v>
      </c>
      <c r="C156" s="2">
        <v>861.0</v>
      </c>
      <c r="D156" s="2">
        <v>153.0</v>
      </c>
      <c r="E156" s="2">
        <f t="shared" si="1"/>
        <v>708</v>
      </c>
      <c r="F156" s="2">
        <f t="shared" si="2"/>
        <v>1263.333333</v>
      </c>
      <c r="G156" s="2">
        <v>317007.0</v>
      </c>
      <c r="H156" s="2">
        <v>3.85</v>
      </c>
      <c r="I156" s="2">
        <v>8718.0</v>
      </c>
    </row>
    <row r="157" ht="14.25" customHeight="1">
      <c r="A157" s="4">
        <v>45712.0</v>
      </c>
      <c r="B157" s="2" t="s">
        <v>27</v>
      </c>
      <c r="C157" s="2">
        <v>1063.0</v>
      </c>
      <c r="D157" s="2">
        <v>47.0</v>
      </c>
      <c r="E157" s="2">
        <f t="shared" si="1"/>
        <v>1016</v>
      </c>
      <c r="F157" s="2">
        <f t="shared" si="2"/>
        <v>1143.666667</v>
      </c>
      <c r="G157" s="2">
        <v>464239.0</v>
      </c>
      <c r="H157" s="2">
        <v>6.58</v>
      </c>
      <c r="I157" s="2">
        <v>39031.0</v>
      </c>
    </row>
    <row r="158" ht="14.25" customHeight="1">
      <c r="A158" s="4">
        <v>45719.0</v>
      </c>
      <c r="B158" s="2" t="s">
        <v>31</v>
      </c>
      <c r="C158" s="2">
        <v>1371.0</v>
      </c>
      <c r="D158" s="2">
        <v>56.0</v>
      </c>
      <c r="E158" s="2">
        <f t="shared" si="1"/>
        <v>1315</v>
      </c>
      <c r="F158" s="2">
        <f t="shared" si="2"/>
        <v>1013</v>
      </c>
      <c r="G158" s="2">
        <v>257579.0</v>
      </c>
      <c r="H158" s="2">
        <v>8.62</v>
      </c>
      <c r="I158" s="2">
        <v>33799.0</v>
      </c>
    </row>
    <row r="159" ht="14.25" customHeight="1">
      <c r="A159" s="4">
        <v>45719.0</v>
      </c>
      <c r="B159" s="2" t="s">
        <v>40</v>
      </c>
      <c r="C159" s="2">
        <v>345.0</v>
      </c>
      <c r="D159" s="2">
        <v>464.0</v>
      </c>
      <c r="E159" s="2">
        <f t="shared" si="1"/>
        <v>-119</v>
      </c>
      <c r="F159" s="2">
        <f t="shared" si="2"/>
        <v>737.3333333</v>
      </c>
      <c r="G159" s="2">
        <v>366881.0</v>
      </c>
      <c r="H159" s="2">
        <v>4.55</v>
      </c>
      <c r="I159" s="2">
        <v>20553.0</v>
      </c>
    </row>
    <row r="160" ht="14.25" customHeight="1">
      <c r="A160" s="4">
        <v>45719.0</v>
      </c>
      <c r="B160" s="2" t="s">
        <v>14</v>
      </c>
      <c r="C160" s="2">
        <v>946.0</v>
      </c>
      <c r="D160" s="2">
        <v>47.0</v>
      </c>
      <c r="E160" s="2">
        <f t="shared" si="1"/>
        <v>899</v>
      </c>
      <c r="F160" s="2">
        <f t="shared" si="2"/>
        <v>698.3333333</v>
      </c>
      <c r="G160" s="2">
        <v>466575.0</v>
      </c>
      <c r="H160" s="2">
        <v>8.33</v>
      </c>
      <c r="I160" s="2">
        <v>10002.0</v>
      </c>
    </row>
    <row r="161" ht="14.25" customHeight="1">
      <c r="A161" s="4">
        <v>45719.0</v>
      </c>
      <c r="B161" s="2" t="s">
        <v>27</v>
      </c>
      <c r="C161" s="2">
        <v>510.0</v>
      </c>
      <c r="D161" s="2">
        <v>195.0</v>
      </c>
      <c r="E161" s="2">
        <f t="shared" si="1"/>
        <v>315</v>
      </c>
      <c r="F161" s="2">
        <f t="shared" si="2"/>
        <v>365</v>
      </c>
      <c r="G161" s="2">
        <v>224534.0</v>
      </c>
      <c r="H161" s="2">
        <v>9.4</v>
      </c>
      <c r="I161" s="2">
        <v>30987.0</v>
      </c>
    </row>
    <row r="162" ht="14.25" customHeight="1">
      <c r="A162" s="4">
        <v>45726.0</v>
      </c>
      <c r="B162" s="2" t="s">
        <v>31</v>
      </c>
      <c r="C162" s="2">
        <v>393.0</v>
      </c>
      <c r="D162" s="2">
        <v>181.0</v>
      </c>
      <c r="E162" s="2">
        <f t="shared" si="1"/>
        <v>212</v>
      </c>
      <c r="F162" s="2">
        <f t="shared" si="2"/>
        <v>475.3333333</v>
      </c>
      <c r="G162" s="2">
        <v>462142.0</v>
      </c>
      <c r="H162" s="2">
        <v>7.23</v>
      </c>
      <c r="I162" s="2">
        <v>6296.0</v>
      </c>
    </row>
    <row r="163" ht="14.25" customHeight="1">
      <c r="A163" s="4">
        <v>45726.0</v>
      </c>
      <c r="B163" s="2" t="s">
        <v>40</v>
      </c>
      <c r="C163" s="2">
        <v>1098.0</v>
      </c>
      <c r="D163" s="2">
        <v>190.0</v>
      </c>
      <c r="E163" s="2">
        <f t="shared" si="1"/>
        <v>908</v>
      </c>
      <c r="F163" s="2">
        <f t="shared" si="2"/>
        <v>478.3333333</v>
      </c>
      <c r="G163" s="2">
        <v>340842.0</v>
      </c>
      <c r="H163" s="2">
        <v>9.39</v>
      </c>
      <c r="I163" s="2">
        <v>21539.0</v>
      </c>
    </row>
    <row r="164" ht="14.25" customHeight="1">
      <c r="A164" s="4">
        <v>45726.0</v>
      </c>
      <c r="B164" s="2" t="s">
        <v>14</v>
      </c>
      <c r="C164" s="2">
        <v>1399.0</v>
      </c>
      <c r="D164" s="2">
        <v>49.0</v>
      </c>
      <c r="E164" s="2">
        <f t="shared" si="1"/>
        <v>1350</v>
      </c>
      <c r="F164" s="2">
        <f t="shared" si="2"/>
        <v>823.3333333</v>
      </c>
      <c r="G164" s="2">
        <v>12471.0</v>
      </c>
      <c r="H164" s="2">
        <v>5.12</v>
      </c>
      <c r="I164" s="2">
        <v>14722.0</v>
      </c>
    </row>
    <row r="165" ht="14.25" customHeight="1">
      <c r="A165" s="4">
        <v>45726.0</v>
      </c>
      <c r="B165" s="2" t="s">
        <v>27</v>
      </c>
      <c r="C165" s="2">
        <v>1658.0</v>
      </c>
      <c r="D165" s="2">
        <v>416.0</v>
      </c>
      <c r="E165" s="2">
        <f t="shared" si="1"/>
        <v>1242</v>
      </c>
      <c r="F165" s="2">
        <f t="shared" si="2"/>
        <v>1166.666667</v>
      </c>
      <c r="G165" s="2">
        <v>98397.0</v>
      </c>
      <c r="H165" s="2">
        <v>6.11</v>
      </c>
      <c r="I165" s="2">
        <v>11383.0</v>
      </c>
    </row>
    <row r="166" ht="14.25" customHeight="1">
      <c r="A166" s="4">
        <v>45733.0</v>
      </c>
      <c r="B166" s="2" t="s">
        <v>31</v>
      </c>
      <c r="C166" s="2">
        <v>1102.0</v>
      </c>
      <c r="D166" s="2">
        <v>422.0</v>
      </c>
      <c r="E166" s="2">
        <f t="shared" si="1"/>
        <v>680</v>
      </c>
      <c r="F166" s="2">
        <f t="shared" si="2"/>
        <v>1090.666667</v>
      </c>
      <c r="G166" s="2">
        <v>410330.0</v>
      </c>
      <c r="H166" s="2">
        <v>7.74</v>
      </c>
      <c r="I166" s="2">
        <v>9480.0</v>
      </c>
    </row>
    <row r="167" ht="14.25" customHeight="1">
      <c r="A167" s="4">
        <v>45733.0</v>
      </c>
      <c r="B167" s="2" t="s">
        <v>40</v>
      </c>
      <c r="C167" s="2">
        <v>1358.0</v>
      </c>
      <c r="D167" s="2">
        <v>242.0</v>
      </c>
      <c r="E167" s="2">
        <f t="shared" si="1"/>
        <v>1116</v>
      </c>
      <c r="F167" s="2">
        <f t="shared" si="2"/>
        <v>1012.666667</v>
      </c>
      <c r="G167" s="2">
        <v>342129.0</v>
      </c>
      <c r="H167" s="2">
        <v>4.94</v>
      </c>
      <c r="I167" s="2">
        <v>29116.0</v>
      </c>
    </row>
    <row r="168" ht="14.25" customHeight="1">
      <c r="A168" s="4">
        <v>45733.0</v>
      </c>
      <c r="B168" s="2" t="s">
        <v>14</v>
      </c>
      <c r="C168" s="2">
        <v>1077.0</v>
      </c>
      <c r="D168" s="2">
        <v>216.0</v>
      </c>
      <c r="E168" s="2">
        <f t="shared" si="1"/>
        <v>861</v>
      </c>
      <c r="F168" s="2">
        <f t="shared" si="2"/>
        <v>885.6666667</v>
      </c>
      <c r="G168" s="2">
        <v>12447.0</v>
      </c>
      <c r="H168" s="2">
        <v>1.8</v>
      </c>
      <c r="I168" s="2">
        <v>14068.0</v>
      </c>
    </row>
    <row r="169" ht="14.25" customHeight="1">
      <c r="A169" s="4">
        <v>45733.0</v>
      </c>
      <c r="B169" s="2" t="s">
        <v>27</v>
      </c>
      <c r="C169" s="2">
        <v>1596.0</v>
      </c>
      <c r="D169" s="2">
        <v>211.0</v>
      </c>
      <c r="E169" s="2">
        <f t="shared" si="1"/>
        <v>1385</v>
      </c>
      <c r="F169" s="2">
        <f t="shared" si="2"/>
        <v>1120.666667</v>
      </c>
      <c r="G169" s="2">
        <v>17380.0</v>
      </c>
      <c r="H169" s="2">
        <v>8.64</v>
      </c>
      <c r="I169" s="2">
        <v>35801.0</v>
      </c>
    </row>
    <row r="170" ht="14.25" customHeight="1">
      <c r="A170" s="4">
        <v>45740.0</v>
      </c>
      <c r="B170" s="2" t="s">
        <v>31</v>
      </c>
      <c r="C170" s="2">
        <v>490.0</v>
      </c>
      <c r="D170" s="2">
        <v>29.0</v>
      </c>
      <c r="E170" s="2">
        <f t="shared" si="1"/>
        <v>461</v>
      </c>
      <c r="F170" s="2">
        <f t="shared" si="2"/>
        <v>902.3333333</v>
      </c>
      <c r="G170" s="2">
        <v>364810.0</v>
      </c>
      <c r="H170" s="2">
        <v>1.53</v>
      </c>
      <c r="I170" s="2">
        <v>49077.0</v>
      </c>
    </row>
    <row r="171" ht="14.25" customHeight="1">
      <c r="A171" s="4">
        <v>45740.0</v>
      </c>
      <c r="B171" s="2" t="s">
        <v>40</v>
      </c>
      <c r="C171" s="2">
        <v>609.0</v>
      </c>
      <c r="D171" s="2">
        <v>135.0</v>
      </c>
      <c r="E171" s="2">
        <f t="shared" si="1"/>
        <v>474</v>
      </c>
      <c r="F171" s="2">
        <f t="shared" si="2"/>
        <v>773.3333333</v>
      </c>
      <c r="G171" s="2">
        <v>373606.0</v>
      </c>
      <c r="H171" s="2">
        <v>8.52</v>
      </c>
      <c r="I171" s="2">
        <v>21453.0</v>
      </c>
    </row>
    <row r="172" ht="14.25" customHeight="1">
      <c r="A172" s="4">
        <v>45740.0</v>
      </c>
      <c r="B172" s="2" t="s">
        <v>14</v>
      </c>
      <c r="C172" s="2">
        <v>364.0</v>
      </c>
      <c r="D172" s="2">
        <v>72.0</v>
      </c>
      <c r="E172" s="2">
        <f t="shared" si="1"/>
        <v>292</v>
      </c>
      <c r="F172" s="2">
        <f t="shared" si="2"/>
        <v>409</v>
      </c>
      <c r="G172" s="2">
        <v>211090.0</v>
      </c>
      <c r="H172" s="2">
        <v>5.53</v>
      </c>
      <c r="I172" s="2">
        <v>21061.0</v>
      </c>
    </row>
    <row r="173" ht="14.25" customHeight="1">
      <c r="A173" s="4">
        <v>45740.0</v>
      </c>
      <c r="B173" s="2" t="s">
        <v>27</v>
      </c>
      <c r="C173" s="2">
        <v>442.0</v>
      </c>
      <c r="D173" s="2">
        <v>53.0</v>
      </c>
      <c r="E173" s="2">
        <f t="shared" si="1"/>
        <v>389</v>
      </c>
      <c r="F173" s="2">
        <f t="shared" si="2"/>
        <v>385</v>
      </c>
      <c r="G173" s="2">
        <v>441931.0</v>
      </c>
      <c r="H173" s="2">
        <v>1.87</v>
      </c>
      <c r="I173" s="2">
        <v>20059.0</v>
      </c>
    </row>
    <row r="174" ht="14.25" customHeight="1">
      <c r="A174" s="4">
        <v>45747.0</v>
      </c>
      <c r="B174" s="2" t="s">
        <v>31</v>
      </c>
      <c r="C174" s="2">
        <v>1033.0</v>
      </c>
      <c r="D174" s="2">
        <v>392.0</v>
      </c>
      <c r="E174" s="2">
        <f t="shared" si="1"/>
        <v>641</v>
      </c>
      <c r="F174" s="2">
        <f t="shared" si="2"/>
        <v>440.6666667</v>
      </c>
      <c r="G174" s="2">
        <v>282780.0</v>
      </c>
      <c r="H174" s="2">
        <v>6.27</v>
      </c>
      <c r="I174" s="2">
        <v>23140.0</v>
      </c>
    </row>
    <row r="175" ht="14.25" customHeight="1">
      <c r="A175" s="4">
        <v>45747.0</v>
      </c>
      <c r="B175" s="2" t="s">
        <v>40</v>
      </c>
      <c r="C175" s="2">
        <v>988.0</v>
      </c>
      <c r="D175" s="2">
        <v>474.0</v>
      </c>
      <c r="E175" s="2">
        <f t="shared" si="1"/>
        <v>514</v>
      </c>
      <c r="F175" s="2">
        <f t="shared" si="2"/>
        <v>514.6666667</v>
      </c>
      <c r="G175" s="2">
        <v>370070.0</v>
      </c>
      <c r="H175" s="2">
        <v>9.46</v>
      </c>
      <c r="I175" s="2">
        <v>23461.0</v>
      </c>
    </row>
    <row r="176" ht="14.25" customHeight="1">
      <c r="A176" s="4">
        <v>45747.0</v>
      </c>
      <c r="B176" s="2" t="s">
        <v>14</v>
      </c>
      <c r="C176" s="2">
        <v>1946.0</v>
      </c>
      <c r="D176" s="2">
        <v>270.0</v>
      </c>
      <c r="E176" s="2">
        <f t="shared" si="1"/>
        <v>1676</v>
      </c>
      <c r="F176" s="2">
        <f t="shared" si="2"/>
        <v>943.6666667</v>
      </c>
      <c r="G176" s="2">
        <v>198350.0</v>
      </c>
      <c r="H176" s="2">
        <v>7.5</v>
      </c>
      <c r="I176" s="2">
        <v>11805.0</v>
      </c>
    </row>
    <row r="177" ht="14.25" customHeight="1">
      <c r="A177" s="4">
        <v>45747.0</v>
      </c>
      <c r="B177" s="2" t="s">
        <v>27</v>
      </c>
      <c r="C177" s="2">
        <v>1957.0</v>
      </c>
      <c r="D177" s="2">
        <v>490.0</v>
      </c>
      <c r="E177" s="2">
        <f t="shared" si="1"/>
        <v>1467</v>
      </c>
      <c r="F177" s="2">
        <f t="shared" si="2"/>
        <v>1219</v>
      </c>
      <c r="G177" s="2">
        <v>435726.0</v>
      </c>
      <c r="H177" s="2">
        <v>4.73</v>
      </c>
      <c r="I177" s="2">
        <v>15969.0</v>
      </c>
    </row>
    <row r="178" ht="14.25" customHeight="1">
      <c r="A178" s="4">
        <v>45754.0</v>
      </c>
      <c r="B178" s="2" t="s">
        <v>31</v>
      </c>
      <c r="C178" s="2">
        <v>559.0</v>
      </c>
      <c r="D178" s="2">
        <v>392.0</v>
      </c>
      <c r="E178" s="2">
        <f t="shared" si="1"/>
        <v>167</v>
      </c>
      <c r="F178" s="2">
        <f t="shared" si="2"/>
        <v>1103.333333</v>
      </c>
      <c r="G178" s="2">
        <v>78789.0</v>
      </c>
      <c r="H178" s="2">
        <v>3.19</v>
      </c>
      <c r="I178" s="2">
        <v>2436.0</v>
      </c>
    </row>
    <row r="179" ht="14.25" customHeight="1">
      <c r="A179" s="4">
        <v>45754.0</v>
      </c>
      <c r="B179" s="2" t="s">
        <v>40</v>
      </c>
      <c r="C179" s="2">
        <v>1307.0</v>
      </c>
      <c r="D179" s="2">
        <v>278.0</v>
      </c>
      <c r="E179" s="2">
        <f t="shared" si="1"/>
        <v>1029</v>
      </c>
      <c r="F179" s="2">
        <f t="shared" si="2"/>
        <v>887.6666667</v>
      </c>
      <c r="G179" s="2">
        <v>98596.0</v>
      </c>
      <c r="H179" s="2">
        <v>2.49</v>
      </c>
      <c r="I179" s="2">
        <v>47603.0</v>
      </c>
    </row>
    <row r="180" ht="14.25" customHeight="1">
      <c r="A180" s="4">
        <v>45754.0</v>
      </c>
      <c r="B180" s="2" t="s">
        <v>14</v>
      </c>
      <c r="C180" s="2">
        <v>1432.0</v>
      </c>
      <c r="D180" s="2">
        <v>425.0</v>
      </c>
      <c r="E180" s="2">
        <f t="shared" si="1"/>
        <v>1007</v>
      </c>
      <c r="F180" s="2">
        <f t="shared" si="2"/>
        <v>734.3333333</v>
      </c>
      <c r="G180" s="2">
        <v>29589.0</v>
      </c>
      <c r="H180" s="2">
        <v>4.5</v>
      </c>
      <c r="I180" s="2">
        <v>42964.0</v>
      </c>
    </row>
    <row r="181" ht="14.25" customHeight="1">
      <c r="A181" s="4">
        <v>45754.0</v>
      </c>
      <c r="B181" s="2" t="s">
        <v>27</v>
      </c>
      <c r="C181" s="2">
        <v>623.0</v>
      </c>
      <c r="D181" s="2">
        <v>414.0</v>
      </c>
      <c r="E181" s="2">
        <f t="shared" si="1"/>
        <v>209</v>
      </c>
      <c r="F181" s="2">
        <f t="shared" si="2"/>
        <v>748.3333333</v>
      </c>
      <c r="G181" s="2">
        <v>290354.0</v>
      </c>
      <c r="H181" s="2">
        <v>6.49</v>
      </c>
      <c r="I181" s="2">
        <v>39923.0</v>
      </c>
    </row>
    <row r="182" ht="14.25" customHeight="1">
      <c r="A182" s="4">
        <v>45761.0</v>
      </c>
      <c r="B182" s="2" t="s">
        <v>31</v>
      </c>
      <c r="C182" s="2">
        <v>198.0</v>
      </c>
      <c r="D182" s="2">
        <v>358.0</v>
      </c>
      <c r="E182" s="2">
        <f t="shared" si="1"/>
        <v>-160</v>
      </c>
      <c r="F182" s="2">
        <f t="shared" si="2"/>
        <v>352</v>
      </c>
      <c r="G182" s="2">
        <v>66682.0</v>
      </c>
      <c r="H182" s="2">
        <v>6.73</v>
      </c>
      <c r="I182" s="2">
        <v>2293.0</v>
      </c>
    </row>
    <row r="183" ht="14.25" customHeight="1">
      <c r="A183" s="4">
        <v>45761.0</v>
      </c>
      <c r="B183" s="2" t="s">
        <v>40</v>
      </c>
      <c r="C183" s="2">
        <v>198.0</v>
      </c>
      <c r="D183" s="2">
        <v>373.0</v>
      </c>
      <c r="E183" s="2">
        <f t="shared" si="1"/>
        <v>-175</v>
      </c>
      <c r="F183" s="2">
        <f t="shared" si="2"/>
        <v>-42</v>
      </c>
      <c r="G183" s="2">
        <v>70707.0</v>
      </c>
      <c r="H183" s="2">
        <v>4.83</v>
      </c>
      <c r="I183" s="2">
        <v>25920.0</v>
      </c>
    </row>
    <row r="184" ht="14.25" customHeight="1">
      <c r="A184" s="4">
        <v>45761.0</v>
      </c>
      <c r="B184" s="2" t="s">
        <v>14</v>
      </c>
      <c r="C184" s="2">
        <v>353.0</v>
      </c>
      <c r="D184" s="2">
        <v>300.0</v>
      </c>
      <c r="E184" s="2">
        <f t="shared" si="1"/>
        <v>53</v>
      </c>
      <c r="F184" s="2">
        <f t="shared" si="2"/>
        <v>-94</v>
      </c>
      <c r="G184" s="2">
        <v>142507.0</v>
      </c>
      <c r="H184" s="2">
        <v>5.3</v>
      </c>
      <c r="I184" s="2">
        <v>11035.0</v>
      </c>
    </row>
    <row r="185" ht="14.25" customHeight="1">
      <c r="A185" s="4">
        <v>45761.0</v>
      </c>
      <c r="B185" s="2" t="s">
        <v>27</v>
      </c>
      <c r="C185" s="2">
        <v>520.0</v>
      </c>
      <c r="D185" s="2">
        <v>375.0</v>
      </c>
      <c r="E185" s="2">
        <f t="shared" si="1"/>
        <v>145</v>
      </c>
      <c r="F185" s="2">
        <f t="shared" si="2"/>
        <v>7.666666667</v>
      </c>
      <c r="G185" s="2">
        <v>369525.0</v>
      </c>
      <c r="H185" s="2">
        <v>6.54</v>
      </c>
      <c r="I185" s="2">
        <v>20733.0</v>
      </c>
    </row>
    <row r="186" ht="14.25" customHeight="1">
      <c r="A186" s="4">
        <v>45768.0</v>
      </c>
      <c r="B186" s="2" t="s">
        <v>31</v>
      </c>
      <c r="C186" s="2">
        <v>961.0</v>
      </c>
      <c r="D186" s="2">
        <v>358.0</v>
      </c>
      <c r="E186" s="2">
        <f t="shared" si="1"/>
        <v>603</v>
      </c>
      <c r="F186" s="2">
        <f t="shared" si="2"/>
        <v>267</v>
      </c>
      <c r="G186" s="2">
        <v>62942.0</v>
      </c>
      <c r="H186" s="2">
        <v>6.8</v>
      </c>
      <c r="I186" s="2">
        <v>18693.0</v>
      </c>
    </row>
    <row r="187" ht="14.25" customHeight="1">
      <c r="A187" s="4">
        <v>45768.0</v>
      </c>
      <c r="B187" s="2" t="s">
        <v>40</v>
      </c>
      <c r="C187" s="2">
        <v>1375.0</v>
      </c>
      <c r="D187" s="2">
        <v>330.0</v>
      </c>
      <c r="E187" s="2">
        <f t="shared" si="1"/>
        <v>1045</v>
      </c>
      <c r="F187" s="2">
        <f t="shared" si="2"/>
        <v>597.6666667</v>
      </c>
      <c r="G187" s="2">
        <v>377382.0</v>
      </c>
      <c r="H187" s="2">
        <v>2.6</v>
      </c>
      <c r="I187" s="2">
        <v>7875.0</v>
      </c>
    </row>
    <row r="188" ht="14.25" customHeight="1">
      <c r="A188" s="4">
        <v>45768.0</v>
      </c>
      <c r="B188" s="2" t="s">
        <v>14</v>
      </c>
      <c r="C188" s="2">
        <v>1147.0</v>
      </c>
      <c r="D188" s="2">
        <v>388.0</v>
      </c>
      <c r="E188" s="2">
        <f t="shared" si="1"/>
        <v>759</v>
      </c>
      <c r="F188" s="2">
        <f t="shared" si="2"/>
        <v>802.3333333</v>
      </c>
      <c r="G188" s="2">
        <v>333851.0</v>
      </c>
      <c r="H188" s="2">
        <v>2.44</v>
      </c>
      <c r="I188" s="2">
        <v>8471.0</v>
      </c>
    </row>
    <row r="189" ht="14.25" customHeight="1">
      <c r="A189" s="4">
        <v>45768.0</v>
      </c>
      <c r="B189" s="2" t="s">
        <v>27</v>
      </c>
      <c r="C189" s="2">
        <v>1707.0</v>
      </c>
      <c r="D189" s="2">
        <v>74.0</v>
      </c>
      <c r="E189" s="2">
        <f t="shared" si="1"/>
        <v>1633</v>
      </c>
      <c r="F189" s="2">
        <f t="shared" si="2"/>
        <v>1145.666667</v>
      </c>
      <c r="G189" s="2">
        <v>270958.0</v>
      </c>
      <c r="H189" s="2">
        <v>3.09</v>
      </c>
      <c r="I189" s="2">
        <v>14090.0</v>
      </c>
    </row>
    <row r="190" ht="14.25" customHeight="1">
      <c r="A190" s="4">
        <v>45775.0</v>
      </c>
      <c r="B190" s="2" t="s">
        <v>31</v>
      </c>
      <c r="C190" s="2">
        <v>1693.0</v>
      </c>
      <c r="D190" s="2">
        <v>154.0</v>
      </c>
      <c r="E190" s="2">
        <f t="shared" si="1"/>
        <v>1539</v>
      </c>
      <c r="F190" s="2">
        <f t="shared" si="2"/>
        <v>1310.333333</v>
      </c>
      <c r="G190" s="2">
        <v>445944.0</v>
      </c>
      <c r="H190" s="2">
        <v>5.69</v>
      </c>
      <c r="I190" s="2">
        <v>14216.0</v>
      </c>
    </row>
    <row r="191" ht="14.25" customHeight="1">
      <c r="A191" s="4">
        <v>45775.0</v>
      </c>
      <c r="B191" s="2" t="s">
        <v>40</v>
      </c>
      <c r="C191" s="2">
        <v>833.0</v>
      </c>
      <c r="D191" s="2">
        <v>380.0</v>
      </c>
      <c r="E191" s="2">
        <f t="shared" si="1"/>
        <v>453</v>
      </c>
      <c r="F191" s="2">
        <f t="shared" si="2"/>
        <v>1208.333333</v>
      </c>
      <c r="G191" s="2">
        <v>224830.0</v>
      </c>
      <c r="H191" s="2">
        <v>3.86</v>
      </c>
      <c r="I191" s="2">
        <v>3582.0</v>
      </c>
    </row>
    <row r="192" ht="14.25" customHeight="1">
      <c r="A192" s="4">
        <v>45775.0</v>
      </c>
      <c r="B192" s="2" t="s">
        <v>14</v>
      </c>
      <c r="C192" s="2">
        <v>1222.0</v>
      </c>
      <c r="D192" s="2">
        <v>274.0</v>
      </c>
      <c r="E192" s="2">
        <f t="shared" si="1"/>
        <v>948</v>
      </c>
      <c r="F192" s="2">
        <f t="shared" si="2"/>
        <v>980</v>
      </c>
      <c r="G192" s="2">
        <v>487289.0</v>
      </c>
      <c r="H192" s="2">
        <v>3.16</v>
      </c>
      <c r="I192" s="2">
        <v>32500.0</v>
      </c>
    </row>
    <row r="193" ht="14.25" customHeight="1">
      <c r="A193" s="4">
        <v>45775.0</v>
      </c>
      <c r="B193" s="2" t="s">
        <v>27</v>
      </c>
      <c r="C193" s="2">
        <v>777.0</v>
      </c>
      <c r="D193" s="2">
        <v>140.0</v>
      </c>
      <c r="E193" s="2">
        <f t="shared" si="1"/>
        <v>637</v>
      </c>
      <c r="F193" s="2">
        <f t="shared" si="2"/>
        <v>679.3333333</v>
      </c>
      <c r="G193" s="2">
        <v>11435.0</v>
      </c>
      <c r="H193" s="2">
        <v>1.6</v>
      </c>
      <c r="I193" s="2">
        <v>6832.0</v>
      </c>
    </row>
    <row r="194" ht="14.25" customHeight="1">
      <c r="A194" s="4">
        <v>45782.0</v>
      </c>
      <c r="B194" s="2" t="s">
        <v>31</v>
      </c>
      <c r="C194" s="2">
        <v>1957.0</v>
      </c>
      <c r="D194" s="2">
        <v>76.0</v>
      </c>
      <c r="E194" s="2">
        <f t="shared" si="1"/>
        <v>1881</v>
      </c>
      <c r="F194" s="2">
        <f t="shared" si="2"/>
        <v>1155.333333</v>
      </c>
      <c r="G194" s="2">
        <v>447902.0</v>
      </c>
      <c r="H194" s="2">
        <v>6.09</v>
      </c>
      <c r="I194" s="2">
        <v>33381.0</v>
      </c>
    </row>
    <row r="195" ht="14.25" customHeight="1">
      <c r="A195" s="4">
        <v>45782.0</v>
      </c>
      <c r="B195" s="2" t="s">
        <v>40</v>
      </c>
      <c r="C195" s="2">
        <v>405.0</v>
      </c>
      <c r="D195" s="2">
        <v>66.0</v>
      </c>
      <c r="E195" s="2">
        <f t="shared" si="1"/>
        <v>339</v>
      </c>
      <c r="F195" s="2">
        <f t="shared" si="2"/>
        <v>952.3333333</v>
      </c>
      <c r="G195" s="2">
        <v>418696.0</v>
      </c>
      <c r="H195" s="2">
        <v>5.59</v>
      </c>
      <c r="I195" s="2">
        <v>48419.0</v>
      </c>
    </row>
    <row r="196" ht="14.25" customHeight="1">
      <c r="A196" s="4">
        <v>45782.0</v>
      </c>
      <c r="B196" s="2" t="s">
        <v>14</v>
      </c>
      <c r="C196" s="2">
        <v>1581.0</v>
      </c>
      <c r="D196" s="2">
        <v>71.0</v>
      </c>
      <c r="E196" s="2">
        <f t="shared" si="1"/>
        <v>1510</v>
      </c>
      <c r="F196" s="2">
        <f t="shared" si="2"/>
        <v>1243.333333</v>
      </c>
      <c r="G196" s="2">
        <v>484364.0</v>
      </c>
      <c r="H196" s="2">
        <v>3.55</v>
      </c>
      <c r="I196" s="2">
        <v>16149.0</v>
      </c>
    </row>
    <row r="197" ht="14.25" customHeight="1">
      <c r="A197" s="4">
        <v>45782.0</v>
      </c>
      <c r="B197" s="2" t="s">
        <v>27</v>
      </c>
      <c r="C197" s="2">
        <v>1035.0</v>
      </c>
      <c r="D197" s="2">
        <v>171.0</v>
      </c>
      <c r="E197" s="2">
        <f t="shared" si="1"/>
        <v>864</v>
      </c>
      <c r="F197" s="2">
        <f t="shared" si="2"/>
        <v>904.3333333</v>
      </c>
      <c r="G197" s="2">
        <v>148477.0</v>
      </c>
      <c r="H197" s="2">
        <v>5.21</v>
      </c>
      <c r="I197" s="2">
        <v>7541.0</v>
      </c>
    </row>
    <row r="198" ht="14.25" customHeight="1">
      <c r="A198" s="4">
        <v>45789.0</v>
      </c>
      <c r="B198" s="2" t="s">
        <v>31</v>
      </c>
      <c r="C198" s="2">
        <v>1765.0</v>
      </c>
      <c r="D198" s="2">
        <v>109.0</v>
      </c>
      <c r="E198" s="2">
        <f t="shared" si="1"/>
        <v>1656</v>
      </c>
      <c r="F198" s="2">
        <f t="shared" si="2"/>
        <v>1343.333333</v>
      </c>
      <c r="G198" s="2">
        <v>468301.0</v>
      </c>
      <c r="H198" s="2">
        <v>1.82</v>
      </c>
      <c r="I198" s="2">
        <v>20042.0</v>
      </c>
    </row>
    <row r="199" ht="14.25" customHeight="1">
      <c r="A199" s="4">
        <v>45789.0</v>
      </c>
      <c r="B199" s="2" t="s">
        <v>40</v>
      </c>
      <c r="C199" s="2">
        <v>837.0</v>
      </c>
      <c r="D199" s="2">
        <v>430.0</v>
      </c>
      <c r="E199" s="2">
        <f t="shared" si="1"/>
        <v>407</v>
      </c>
      <c r="F199" s="2">
        <f t="shared" si="2"/>
        <v>975.6666667</v>
      </c>
      <c r="G199" s="2">
        <v>364820.0</v>
      </c>
      <c r="H199" s="2">
        <v>4.0</v>
      </c>
      <c r="I199" s="2">
        <v>49400.0</v>
      </c>
    </row>
    <row r="200" ht="14.25" customHeight="1">
      <c r="A200" s="4">
        <v>45789.0</v>
      </c>
      <c r="B200" s="2" t="s">
        <v>14</v>
      </c>
      <c r="C200" s="2">
        <v>337.0</v>
      </c>
      <c r="D200" s="2">
        <v>68.0</v>
      </c>
      <c r="E200" s="2">
        <f t="shared" si="1"/>
        <v>269</v>
      </c>
      <c r="F200" s="2">
        <f t="shared" si="2"/>
        <v>777.3333333</v>
      </c>
      <c r="G200" s="2">
        <v>456298.0</v>
      </c>
      <c r="H200" s="2">
        <v>7.57</v>
      </c>
      <c r="I200" s="2">
        <v>4007.0</v>
      </c>
    </row>
    <row r="201" ht="14.25" customHeight="1">
      <c r="A201" s="4">
        <v>45789.0</v>
      </c>
      <c r="B201" s="2" t="s">
        <v>27</v>
      </c>
      <c r="C201" s="2">
        <v>119.0</v>
      </c>
      <c r="D201" s="2">
        <v>456.0</v>
      </c>
      <c r="E201" s="2">
        <f t="shared" si="1"/>
        <v>-337</v>
      </c>
      <c r="F201" s="2">
        <f t="shared" si="2"/>
        <v>113</v>
      </c>
      <c r="G201" s="2">
        <v>82558.0</v>
      </c>
      <c r="H201" s="2">
        <v>6.81</v>
      </c>
      <c r="I201" s="2">
        <v>12174.0</v>
      </c>
    </row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E$1:$E$201">
    <sortState ref="E1:E201">
      <sortCondition descending="1" ref="E1:E201"/>
    </sortState>
  </autoFilter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5.57"/>
    <col customWidth="1" min="3" max="3" width="28.57"/>
    <col customWidth="1" min="4" max="26" width="8.71"/>
  </cols>
  <sheetData>
    <row r="1" ht="14.25" customHeight="1">
      <c r="A1" s="5" t="s">
        <v>12</v>
      </c>
      <c r="B1" s="6" t="s">
        <v>564</v>
      </c>
      <c r="C1" s="6" t="s">
        <v>565</v>
      </c>
      <c r="D1" s="5" t="s">
        <v>566</v>
      </c>
      <c r="E1" s="7" t="s">
        <v>567</v>
      </c>
      <c r="F1" s="5" t="s">
        <v>568</v>
      </c>
    </row>
    <row r="2" ht="14.25" customHeight="1">
      <c r="A2" s="5" t="s">
        <v>25</v>
      </c>
      <c r="B2" s="6">
        <v>45453.0</v>
      </c>
      <c r="C2" s="6">
        <v>45478.0</v>
      </c>
      <c r="D2" s="5" t="s">
        <v>569</v>
      </c>
      <c r="E2" s="7">
        <v>180000.0</v>
      </c>
      <c r="F2" s="5" t="s">
        <v>570</v>
      </c>
    </row>
    <row r="3" ht="14.25" customHeight="1">
      <c r="A3" s="5" t="s">
        <v>19</v>
      </c>
      <c r="B3" s="6">
        <v>45505.0</v>
      </c>
      <c r="C3" s="6">
        <v>45535.0</v>
      </c>
      <c r="D3" s="5" t="s">
        <v>571</v>
      </c>
      <c r="E3" s="7">
        <v>160000.0</v>
      </c>
      <c r="F3" s="5" t="s">
        <v>572</v>
      </c>
    </row>
    <row r="4" ht="14.25" customHeight="1">
      <c r="A4" s="5" t="s">
        <v>38</v>
      </c>
      <c r="B4" s="6">
        <v>45570.0</v>
      </c>
      <c r="C4" s="6">
        <v>45601.0</v>
      </c>
      <c r="D4" s="5" t="s">
        <v>573</v>
      </c>
      <c r="E4" s="7">
        <v>220000.0</v>
      </c>
      <c r="F4" s="5" t="s">
        <v>574</v>
      </c>
    </row>
    <row r="5" ht="14.25" customHeight="1">
      <c r="A5" s="8" t="s">
        <v>55</v>
      </c>
      <c r="B5" s="9">
        <v>45667.0</v>
      </c>
      <c r="C5" s="9">
        <v>45698.0</v>
      </c>
      <c r="D5" s="8" t="s">
        <v>575</v>
      </c>
      <c r="E5" s="10">
        <v>200000.0</v>
      </c>
      <c r="F5" s="11" t="s">
        <v>576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